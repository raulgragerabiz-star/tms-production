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l.gragera\Desktop\"/>
    </mc:Choice>
  </mc:AlternateContent>
  <xr:revisionPtr revIDLastSave="0" documentId="13_ncr:1_{DED82729-FACF-4370-A77C-8713A7CE84FF}" xr6:coauthVersionLast="47" xr6:coauthVersionMax="47" xr10:uidLastSave="{00000000-0000-0000-0000-000000000000}"/>
  <bookViews>
    <workbookView xWindow="-120" yWindow="-120" windowWidth="29040" windowHeight="15720" activeTab="1" xr2:uid="{B8848CB9-EEA8-4301-A9F4-D2F2930B6FDE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3" i="2" l="1"/>
  <c r="Q114" i="2" s="1"/>
  <c r="P113" i="2"/>
  <c r="P115" i="2" s="1"/>
  <c r="P116" i="2" s="1"/>
  <c r="P117" i="2" s="1"/>
  <c r="P112" i="2"/>
  <c r="R114" i="2" s="1"/>
  <c r="P96" i="2"/>
  <c r="P81" i="2"/>
  <c r="M81" i="2"/>
  <c r="P69" i="2"/>
  <c r="M69" i="2"/>
  <c r="P60" i="2"/>
  <c r="M60" i="2"/>
  <c r="P39" i="2"/>
  <c r="M39" i="2"/>
  <c r="P12" i="2"/>
  <c r="M12" i="2"/>
</calcChain>
</file>

<file path=xl/sharedStrings.xml><?xml version="1.0" encoding="utf-8"?>
<sst xmlns="http://schemas.openxmlformats.org/spreadsheetml/2006/main" count="960" uniqueCount="366">
  <si>
    <t xml:space="preserve">cod </t>
  </si>
  <si>
    <t>cliente</t>
  </si>
  <si>
    <t>direccion</t>
  </si>
  <si>
    <t>ruta</t>
  </si>
  <si>
    <t>MOSAICOS ALONSO BIG MAT</t>
  </si>
  <si>
    <t>CTRA. DE VALLADOLID S/N, 24227, VALDELAFUENTE, León, España, VALDELAFUENTE</t>
  </si>
  <si>
    <t>ASTURIAS (Pinto)</t>
  </si>
  <si>
    <t>TERRAZOS PEÑALABRA, S.L.</t>
  </si>
  <si>
    <t>Carretera Palencia Km 107, 34840, Cervera De Pisuerga, Palencia, España, CERVERA DE PISUERGA</t>
  </si>
  <si>
    <t>MAT. DE CONST. GARCIA GONZALEZ, S.L.</t>
  </si>
  <si>
    <t>CTRA. DE NAVALMORAL S/N, 10400, Jaraiz De La Vera, Cáceres, España, JARAIZ DE LA VERA</t>
  </si>
  <si>
    <t>EXTREMADURA (Pinto)</t>
  </si>
  <si>
    <t>RIOSMAT, S.L.</t>
  </si>
  <si>
    <t>C/ SAN JUAN DE DIOS, 1, 37210, Vitigudino, Salamanca, España, VITIGUDINO</t>
  </si>
  <si>
    <t>BIGMAT TALAVERA</t>
  </si>
  <si>
    <t>Av. de Portugal, 75, 45600 Talavera de la Reina, Toledo</t>
  </si>
  <si>
    <t>CARLOS RIVAS E HIJOS, S.L.</t>
  </si>
  <si>
    <t>Avda. de Madrid, 1, 05430, Adrada, La, Avila, España, ADRADA, LA</t>
  </si>
  <si>
    <t>AGUSTIN TEJEDA, S.A.</t>
  </si>
  <si>
    <t>CTRA. BADAJOZ, S/N, 06500, San Vicente De Alcantara, Badajoz, España, SAN VICENTE DE ALCANTARA</t>
  </si>
  <si>
    <t>AGUSTIN TEJEDA, S.A</t>
  </si>
  <si>
    <t>LANCHO CANDELEDA, S.L.</t>
  </si>
  <si>
    <t>Cra. de Oropesa, s/n, 05480, Candeleda, Avila, España, CANDELEDA</t>
  </si>
  <si>
    <t>ESPECIALISTAS EN AISLAMIENTOS,S.L</t>
  </si>
  <si>
    <t>C/ MAR ARTICO, 13 POLIG CHARCA MUSIA, 10005, Cáceres, Cáceres, España, CÁCERES</t>
  </si>
  <si>
    <t>ISMAEL TELLO, S.A.</t>
  </si>
  <si>
    <t>AVDA. CRUZ DE LOS PAJARES, 39  APTDO. C. Nº6, 10100, Miajadas, Cáceres, España, MIAJADAS</t>
  </si>
  <si>
    <t>BIGMAT CAYUELA, S.L.</t>
  </si>
  <si>
    <t>Pol Ind La Cañada C/ Arroyo de la Colmena Parc.R2, 10840, Moraleja, Cáceres, España, MORALEJA</t>
  </si>
  <si>
    <t>MAGERVYSA 2011, S.L.</t>
  </si>
  <si>
    <t>C/ RIO SALOR, 83, 10300, Navalmoral De La Mata, Cáceres, España, NAVALMORAL DE LA MATA</t>
  </si>
  <si>
    <t>TRANSPORTES Y SUMINISTROS DUQUE Y VAQUERO S.L.</t>
  </si>
  <si>
    <t>C/ CARLOS V, 1, 10612, Jerte, Cáceres, España, JERTE</t>
  </si>
  <si>
    <t>S.C.L. GARCIA</t>
  </si>
  <si>
    <t>Avda. Piñuelas, 35, 10700, Hervas, Cáceres, España, HERVAS</t>
  </si>
  <si>
    <t>ALMACENES JUAN LUIS GARCIA, S.L.</t>
  </si>
  <si>
    <t>CTRA. DE FUENTERROBLE, 11, 37770, Guijuelo, Salamanca, España, GUIJUELO</t>
  </si>
  <si>
    <t>NURIA RAMOS CARRASCO</t>
  </si>
  <si>
    <t>CTRA. EXTREMADURA 205 KM, 17, 10890, Valverde Del Fresno, Cáceres, España, VALVERDE DEL FRESNO</t>
  </si>
  <si>
    <t>ALMACENES GALLEGO ESTEBAN, S.L.</t>
  </si>
  <si>
    <t>CTRA. SALAMANCA, 320, 37500, Ciudad Rodrigo, Salamanca, España, CIUDAD RODRIGO</t>
  </si>
  <si>
    <t>ALMACENES ANLOMA 2 S.L.</t>
  </si>
  <si>
    <t>CALLE 8 DE MARZO, PARC. 62 POL. IND. 1º DE MAYO, 10900, Arroyo De La Luz, Cáceres, España, ARROYO DE LA LUZ</t>
  </si>
  <si>
    <t>JOSE PORRAS PISONERO</t>
  </si>
  <si>
    <t>C/ HUMILLADERO UNO, Nº 12, BAJO, 37760, Linares De Riofrio, Salamanca, España, LINARES DE RIOFRIO</t>
  </si>
  <si>
    <t>ESTRATEGIAS Y OBJETIVOS INMOBILIARIOS</t>
  </si>
  <si>
    <t>Avda. Portugal, 75, 45600, Talavera de la Reina, Toledo, España, TALAVERA DE LA REINA</t>
  </si>
  <si>
    <t>STRUXENTIA GROUP, S.L.</t>
  </si>
  <si>
    <t>Calle Alonso Cano, 36, 2-F, 28003, Madrid, Madrid, España, MADRID</t>
  </si>
  <si>
    <t>BM TEVISA, S.A.U.</t>
  </si>
  <si>
    <t>C/ MAGDALENA, 65, 06800, Merida, Badajoz, España, MERIDA</t>
  </si>
  <si>
    <t>BM TEVISA, SAU BADAJOZ</t>
  </si>
  <si>
    <t>Polígono Industrial el Nevero, Av. Joaquín Sánchez Valverde, Parc. H, 1 A, 06006 Badajoz</t>
  </si>
  <si>
    <t>MULERO QUINTERO, S.L.</t>
  </si>
  <si>
    <t>C/ PORTUGAL, 32, 06340, Fregenal De La Sierra, Badajoz, España, FREGENAL DE LA SIERRA</t>
  </si>
  <si>
    <t>ALMACENES PEDRO FERNANDEZ, S.L.</t>
  </si>
  <si>
    <t>DE ESPAÑA, 12, 06300, Zafra, Badajoz, España, ZAFRA</t>
  </si>
  <si>
    <t>MATERIALES NUÑEZ RODRIGUEZ S.L.</t>
  </si>
  <si>
    <t>CARRETERA DE HIGUERA, 169, 06129, ZAHINOS, BADAJOZ, España, ZAHINOS</t>
  </si>
  <si>
    <t>ALMACENES SINFO, S.L.</t>
  </si>
  <si>
    <t>Ctra Zalamea-Quintana Km 1,5, 06430, Zalamea De La Serena, Badajoz, España, ZALAMEA DE LA SERENA</t>
  </si>
  <si>
    <t>MATERIALES NUÑEZ C.B.</t>
  </si>
  <si>
    <t>Calle Castillo, 48, 06129, Zahinos, Badajoz, España, ZAHINOS</t>
  </si>
  <si>
    <t>SANEAMIENTOS Y FERRETERIA BRAVO E HIJOS, S.L.</t>
  </si>
  <si>
    <t>POL. INDUSTRIAL LOS PINOS, PAR 11, PEÑARROYA, 14200, PUEBLONUEVO, Córdoba, España, PUEBLONUEVO</t>
  </si>
  <si>
    <t>MADECON, S.A.</t>
  </si>
  <si>
    <t>C/ RETAMAR, S/N (POLIGONO INDUSTRIAL), 05350, San Pedro del Arroyo, Avila, España, SAN PEDRO DEL ARROYO</t>
  </si>
  <si>
    <t>LEON (Pinto)</t>
  </si>
  <si>
    <t>CARRION AREXNA, S.L.U.</t>
  </si>
  <si>
    <t>C/ JOAQUIN SOROLLA,9, 40450, Nava De La Asuncion, Segovia, España, NAVA DE LA ASUNCION</t>
  </si>
  <si>
    <t>ALMACEN DE MATERIALES DE CONST. LA FABRICA</t>
  </si>
  <si>
    <t>CTRA AVILA A PIEDRAHITA KM 32, 05560, Amavida, Avila, España, AMAVIDA</t>
  </si>
  <si>
    <t>MARTIN GARCIA 2005, S.L.</t>
  </si>
  <si>
    <t>Doctor Madruga, 49 Bajo, 37419, Parada de Rubiales, Salamanca, España, PARADA DE RUBIALES</t>
  </si>
  <si>
    <t>FERRETERIA Y MATERIALES ALVAREZ S.A.</t>
  </si>
  <si>
    <t>AVDA. EMILIO ROMERO, Nº 63, 05200, Arevalo, Avila, España, AREVALO</t>
  </si>
  <si>
    <t>GOISJAMA, S.L.</t>
  </si>
  <si>
    <t>Bº SAN BLAS, E Nº 3, 05250, Hoyo De Pinares, Avila, España, HOYO DE PINARES</t>
  </si>
  <si>
    <t>MANUEL SANFRUTOS</t>
  </si>
  <si>
    <t>C/ PEÑAFIEL, 2, 40200, Cuellar, Segovia, España, CUELLAR</t>
  </si>
  <si>
    <t>AGRUPACION EMPRESARIAL TABANERA S.A.</t>
  </si>
  <si>
    <t>Avda. Hontoria parc. 112, 40195, Hontoria, Segovia, España, HONTORIA</t>
  </si>
  <si>
    <t>LA GAVIA INVERSIONES Y PROYECTOS,S.L.</t>
  </si>
  <si>
    <t>C/ DE FUNDIDORES, 8 POL. IND. FRANCISCO LOBATO, 47400, Medina Del Campo, Valladolid, España, MEDINA DEL CAMPO</t>
  </si>
  <si>
    <t>MARTIN GARCIA 2005, SL (CASTELLANOS)</t>
  </si>
  <si>
    <t>Calle Dr. Madruga, 49, 37419 Parada de Rubiales, Salamanca</t>
  </si>
  <si>
    <t>CITY AVILA SUMINISTROS, S.L.U (Madecon)</t>
  </si>
  <si>
    <t>C/ RIO ESLA, 51-B, 05004, Avila, Avila, España, AVILA</t>
  </si>
  <si>
    <t>IBAÑEZ CUENCA, S.A.</t>
  </si>
  <si>
    <t>Avenida de la Cruz Roja Española, s/n, 16002, Cuenca, Cuenca, España, CUENCA</t>
  </si>
  <si>
    <t>MAD 01 (Pinto)</t>
  </si>
  <si>
    <t>MATERIALES DE CONSTRUCCION PEPE, S.L.</t>
  </si>
  <si>
    <t>AVDA. CRUZ ROJA, S/N, 16002, Cuenca, Cuenca, España, CUENCA</t>
  </si>
  <si>
    <t>COPI, S.A.</t>
  </si>
  <si>
    <t>CTRA. DE DOS BARRIOS, Nº 7, 45350, Noblejas, Toledo, España, NOBLEJAS</t>
  </si>
  <si>
    <t>HERMANOS MARIN GASÓLEOS Y MAT. CONSTRUCCIÓN S.L</t>
  </si>
  <si>
    <t>CRTA. CUENCA A TERUEL (CAÑETE), 16300, Cañete, Cuenca, España, CAÑETE</t>
  </si>
  <si>
    <t>FERRETERIA TARANCON, S.L.</t>
  </si>
  <si>
    <t>AVDA. ADOLFO SUAREZ, 22, 16400, Tarancon, Cuenca, España, TARANCON</t>
  </si>
  <si>
    <t>MATERIALES PEDRO GONZALEZ, S.L.</t>
  </si>
  <si>
    <t>Paseo de la Estación, s/n, 16500, Huete, Cuenca, España, HUETE</t>
  </si>
  <si>
    <t>SAMACO, S.L.</t>
  </si>
  <si>
    <t>Ctra. Villarrubia Km 0,800, 28360, Villaconejos, Madrid, España, VILLACONEJOS</t>
  </si>
  <si>
    <t>PROYECTOS Y MATERIALES COPI, S.L.</t>
  </si>
  <si>
    <t>CTRA. DOS BARRIOS, Nº 7, 45350, Noblejas, Toledo, España, NOBLEJAS</t>
  </si>
  <si>
    <t>ALMACENES HERRERO DE LA CALLE S.L.</t>
  </si>
  <si>
    <t>CARRETERA CORUÑA 40 KM, 28400, Collado Villalba, Madrid, España, COLLADO VILLALBA</t>
  </si>
  <si>
    <t>SANEAMIENTOS SANCHEZ ARANJUEZ SL</t>
  </si>
  <si>
    <t>Calle Antonio Guardiola Sáez, 28, 28300, Aranjuez, Madrid, España, ARANJUEZ</t>
  </si>
  <si>
    <t>bigmat Brea arganda</t>
  </si>
  <si>
    <t>Cam. San Martín de la Vega, 10, 28500 Arganda del Rey, Madrid</t>
  </si>
  <si>
    <t>MAD 02 (Pinto)</t>
  </si>
  <si>
    <t>BOLMA, S.A.</t>
  </si>
  <si>
    <t>CAMINO DE AMBROZ S/N, 28032, Madrid, Madrid, España, MADRID</t>
  </si>
  <si>
    <t>PROYECSA YESOS, S.L.U</t>
  </si>
  <si>
    <t>C/ VASCO NUÑEZ DE BALBOA 63. POL IND. EL HENARES, 19180, Marchamalo, Guadalajara, España, MARCHAMALO</t>
  </si>
  <si>
    <t>RODRIGUEZ Y SOBRINOS, S.L</t>
  </si>
  <si>
    <t>CALLE VITAL AZA, 24, 28017, Madrid, Madrid, España, MADRID</t>
  </si>
  <si>
    <t>ALMACENES EUROPA, S.A.</t>
  </si>
  <si>
    <t>C/ BLANCAR, 1, 28180, Torrelaguna, Madrid, España, TORRELAGUNA</t>
  </si>
  <si>
    <t>AQUI ORTEGA, S.L.</t>
  </si>
  <si>
    <t>AV. DE LA CONSTITUICCION, 71, 19110, Mondejar, Guadalajara, España, MONDEJAR</t>
  </si>
  <si>
    <t>SILVIU MATERIALES DE CONSTRUCCION S.L. (COSLADA)</t>
  </si>
  <si>
    <t>Avenida de la Constitucion, 7, 28821, Coslada, Madrid, España, COSLADA</t>
  </si>
  <si>
    <t>bigmat Silviu materiales de construccion</t>
  </si>
  <si>
    <t>Av. de la Constitución, 7, 28821 Coslada, Madrid</t>
  </si>
  <si>
    <t>HORMIHORCHE S.L.</t>
  </si>
  <si>
    <t>CTRA N-320 K.M. 257 via de servicio, 19140, Horche, Guadalajara, España, HORCHE</t>
  </si>
  <si>
    <t>MATERIALES DE CONSTRUCCION GOMEZ PACHECO, C.B.</t>
  </si>
  <si>
    <t>CALLE MARIA CRISTINA, 12 C, 19400, Brihuega, Guadalajara, España, BRIHUEGA</t>
  </si>
  <si>
    <t>SYRO ARGENTI SL</t>
  </si>
  <si>
    <t>Av. de la Constitución 7, 28821 Coslada, Madrid</t>
  </si>
  <si>
    <t>SUMINISTROS RUFINO NAVARRO, S.L.</t>
  </si>
  <si>
    <t>CALLE SOLANA, 72, 28850, Torrejon de Ardoz, MADRID, España, TORREJON DE ARDOZ</t>
  </si>
  <si>
    <t>BRICO PRO REFORMANDO HOGARES SL</t>
  </si>
  <si>
    <t>AVDA CONSTITUCION No. 7, 28821, Coslada, MADRID, España, COSLADA</t>
  </si>
  <si>
    <t>CANTERAS Y ARIDOS DE LA ALCARRIA SL</t>
  </si>
  <si>
    <t>CARRETERA N-320 Km. 257 VÍA DE SERVICIO, 19140, Horche, Guadalajara, España, HORCHE</t>
  </si>
  <si>
    <t>BRICODECOR MADRID SL</t>
  </si>
  <si>
    <t>C/ Mar del Japón 17, 28033, Madrid, Madrid, España, MADRID</t>
  </si>
  <si>
    <t>bigmat alotrans</t>
  </si>
  <si>
    <t>Av. de las Naciones, 17, 45200 Illescas, Toledo</t>
  </si>
  <si>
    <t>MAD 03 (Pinto)</t>
  </si>
  <si>
    <t>CERAMICAS LEGANES, S.L.</t>
  </si>
  <si>
    <t>Calle del Mazo, 14, 28925, Alcorcon, Madrid, España, ALCORCON</t>
  </si>
  <si>
    <t>SUMINISTROS GONZALEZ LOPEZ, S.L.</t>
  </si>
  <si>
    <t>ARTESA, 6, 45180, Camarena, Toledo, España, CAMARENA</t>
  </si>
  <si>
    <t>BIGMAT SAGRA, S.L.</t>
  </si>
  <si>
    <t>CARRTERA LA PEDRERA, KM. 36, 800, 45290, Pantoja, Toledo, España, PANTOJA</t>
  </si>
  <si>
    <t>JUMELA SANCHO, S.L.</t>
  </si>
  <si>
    <t>Hernan Cortes, 18, 45114, Mazarambroz, Toledo, España, MAZARAMBROZ</t>
  </si>
  <si>
    <t>PROMACOVI, S.L.</t>
  </si>
  <si>
    <t>C/ SAN NORBERTO, 21, 28021, Madrid, Madrid, España, MADRID</t>
  </si>
  <si>
    <t>bigmat tabanera</t>
  </si>
  <si>
    <t>Polig Indust Hontoria, Avda Principal de hontoria, s/n, parc, 112, 40195 Hontoria, Segovia</t>
  </si>
  <si>
    <t>ESTUDIOS OBRAS Y SUMINISTROS, S.L</t>
  </si>
  <si>
    <t>CALLE LOS CASTAÑOS, 8 (POL.IND.LA FRONTERA), 28990, Torrejon De Velasco, Madrid, España, TORREJON DE VELASCO</t>
  </si>
  <si>
    <t>ASER SABRIDO FERREIRA</t>
  </si>
  <si>
    <t>TRAVESIA LOS MORALES, 6, 45542, Casar De Escalona, El, Toledo, España, CASAR DE ESCALONA, EL</t>
  </si>
  <si>
    <t>Escayolas Europa</t>
  </si>
  <si>
    <t>C. Monturiol, 17, 28906 Getafe, Madrid</t>
  </si>
  <si>
    <t>JUAN PABLO TORIBIO MATERIALES DE CONSTRUCCIÓN</t>
  </si>
  <si>
    <t>C/Camino de los Silos nº4, 45730, VILLAFRANCA DE LOS CABALLEROS, Toledo, España, VILLAFRANCA DE LOS CABALLEROS</t>
  </si>
  <si>
    <t>ALMACENES SAN GREGORIO, S.L.</t>
  </si>
  <si>
    <t>C/ Alto de la Albillera, Parcela 15, 49025, Zamora, Zamora, España, ZAMORA</t>
  </si>
  <si>
    <t>MADRID (Pinto)</t>
  </si>
  <si>
    <t>ESTRATEGIAS BIGMAT, S.L.U (ALCALA)</t>
  </si>
  <si>
    <t>Polígono Industrial, C. Louis Pasteur, sn, 28806 Alcalá de Henares, Madrid</t>
  </si>
  <si>
    <t>ESTRATEGIAS BIGMAT, S.L.U (ALCOBENDAS)</t>
  </si>
  <si>
    <t>C. de Francisco Gervás, 10, 28108 Alcobendas, Madrid</t>
  </si>
  <si>
    <t>ESTRATEGIAS BIGMAT, S.L.U (GETAFE)</t>
  </si>
  <si>
    <t>C. Edison, 7, 28906 Getafe, Madrid</t>
  </si>
  <si>
    <t>ESTRATEGIAS BIGMAT, S.L.U (PINTO)</t>
  </si>
  <si>
    <t>Calle Litografos, 5, 28320 Pinto, Madrid</t>
  </si>
  <si>
    <t>ESTRATEGIAS BIGMAT, S.L.U (ALCORCON)</t>
  </si>
  <si>
    <t>Av. de América, 34, 28922 Alcorcón, Madrid</t>
  </si>
  <si>
    <t>ESTRATEGIAS BIGMAT, S.L.U (ATOCHA)</t>
  </si>
  <si>
    <t>C. de Fray Luis de León, 9, Arganzuela, 28012 Madrid</t>
  </si>
  <si>
    <t>ESTRATEGIAS BIGMAT, S.L.U (GARCIA NOBLEJAS)</t>
  </si>
  <si>
    <t>C. de Julián Camarillo, 17, San Blas-Canillejas, 28037 Madrid</t>
  </si>
  <si>
    <t>ESTRATEGIAS BIGMAT, S.L.U (VALLADOLID)</t>
  </si>
  <si>
    <t>C. Níquel, 2, 47012 Valladolid</t>
  </si>
  <si>
    <t>ESTRATEGIAS BIGMAT ,S.L.U (Palencia)</t>
  </si>
  <si>
    <t>Av. de Cuba, 42, 34003 Palencia</t>
  </si>
  <si>
    <t>ESTRATEGIAS BIGMAT, S.L.U (Benavente)</t>
  </si>
  <si>
    <t>Polígono Industrial, C. Cam. del Calvario, 78, 49600 Benavente, Zamora</t>
  </si>
  <si>
    <t>BIGWIN COMERCIAL DE VENTANAS, S.L.</t>
  </si>
  <si>
    <t>Avda de los Pirineos 7, 28703, San Sebastian de los Reyes, Madrid, España, SAN SEBASTIAN DE LOS REYES</t>
  </si>
  <si>
    <t>CUBIK SURFACE MADRID, S.L.</t>
  </si>
  <si>
    <t>C. del Mar Tirreno, 8, 28830 Pol. Ind. San Fernando, Madrid</t>
  </si>
  <si>
    <t>ESTRATEGIAS BIGMAT, S.L.U (FUENLABRADA)</t>
  </si>
  <si>
    <t>Av. de la Encina, 12, 28942 Fuenlabrada, Madrid</t>
  </si>
  <si>
    <t>BRICOFERREIRA SOCIEDADE UNIPESSOAL, LDA</t>
  </si>
  <si>
    <t>Quinta das Areiras, E.N. 2, 7900-562, Ferreira do Alentejo, Porto, Portugal, FERREIRA DO ALENTEJO</t>
  </si>
  <si>
    <t>PORTU 4 (Pinto)</t>
  </si>
  <si>
    <t>JOAQUIM CALDEIRA &amp; FILHOS, LDA</t>
  </si>
  <si>
    <t>ESTRADA NACIONAL 16, Nº 18, 6300-170, PORTO DA CARNE, GUARDA, Portugal, PORTO DA CARNE</t>
  </si>
  <si>
    <t>(BM CITY GUARDA) JOAQUIM CALDEIRA &amp; FILHOS, LDA →</t>
  </si>
  <si>
    <t>Rua 4 de Outubro, 6300-877 Guarda, Portugal</t>
  </si>
  <si>
    <t>PINTO E FILHOS LDA.</t>
  </si>
  <si>
    <t>ZONA INDUSTRIAL HORTA DAS FIGUEIRAS, ÉVORA, 7005-212, ÉVORA, Portugal, 7005-212</t>
  </si>
  <si>
    <t>TOKA MATERIAIS DE CONSTRUÇAO, LDA</t>
  </si>
  <si>
    <t>Avenida Vale São Domingos, 6120-782, Mação, SAntarém, Portugal, MAÇÃO</t>
  </si>
  <si>
    <t>SANTIAGO E CIA, LDA</t>
  </si>
  <si>
    <t>Avda da Republica nº 14, 6420-140, Trancoso - Guarda, Portugal, Portugal, TRANCOSO - GUARDA</t>
  </si>
  <si>
    <t>COMERCIALIZAÇÃO DE MAT. DE CONST. HELBETA LDA</t>
  </si>
  <si>
    <t>LARGO DO CALVÁRIO Nº 13, 6200 734, TORTOSENDO, CASTELO BRANCO, Portugal, TORTOSENDO</t>
  </si>
  <si>
    <t>MASOTAV, LDA</t>
  </si>
  <si>
    <t>ZONA INDUSTRIAL DE VILA VERDE, 3770-305, OLIVEIRA DO BAIRRO, AVEIRO, Portugal, OLIVEIRA DO BAIRRO</t>
  </si>
  <si>
    <t>CANOLIVA EQUIP. TEC. DE CANALIZAÇAO E REP. LDA</t>
  </si>
  <si>
    <t>AVENIDA CALOUSTE GULBENKIAN, 21, 3400-161, OLIVEIRA DO HOSPITAL, COÍMBRA, Portugal, OLIVEIRA DO HOSPITAL</t>
  </si>
  <si>
    <t>RICARDO &amp; RICARDOS LDA</t>
  </si>
  <si>
    <t>Rua Ciudade de Guarda - Rotunda do Gravato, 6320-360, Aldeia S.Antonio, Sabugal, Portugal, ALDEIA S.ANTONIO</t>
  </si>
  <si>
    <t>CENTROTORNEIRAS, LDA</t>
  </si>
  <si>
    <t>RUA ADRIANO LUCAS, 3020, 430, COIMBRA, Portugal, 430</t>
  </si>
  <si>
    <t>JOFEPER II COMERCIO E MAT. P CONST. LDA</t>
  </si>
  <si>
    <t>JOFEPER. R. do Poço 101, 2495-408, FATIMA, FATIMA, Portugal, FATIMA</t>
  </si>
  <si>
    <t>MASTER RETOK, LDA</t>
  </si>
  <si>
    <t>AV. D. NUNO ALVARES PEREIRA 12, 7430 167, CRATO, PORTALEGRE, Portugal, CRATO</t>
  </si>
  <si>
    <t>QUITERIO E QUITERIO, LDA.</t>
  </si>
  <si>
    <t>RUA DA CERAMICA, S/Nº, 2090-2017, FRADE DA CIMA- ALPIARÇA, SANTAREM, Portugal, FRADE DA CIMA- ALPIARÇA</t>
  </si>
  <si>
    <t>CALIPOMAT- MATERIAIS DE CONSTRUÇAO, LDA</t>
  </si>
  <si>
    <t>Zona Industrial, Lote 12 - Apartado 225, 7160-999, Vila Viçosa, Evora, Portugal, VILA VIÇOSA</t>
  </si>
  <si>
    <t xml:space="preserve"> Centro Logístico</t>
  </si>
  <si>
    <t>Rutas</t>
  </si>
  <si>
    <t>Circuito</t>
  </si>
  <si>
    <t>Coord. Zona</t>
  </si>
  <si>
    <t>Gestoras de Tte</t>
  </si>
  <si>
    <t>Cod. Socio</t>
  </si>
  <si>
    <t>Socios</t>
  </si>
  <si>
    <t>Población</t>
  </si>
  <si>
    <t>Cuaderno de Servicio</t>
  </si>
  <si>
    <t>Paradas</t>
  </si>
  <si>
    <t>Prov. De Tte</t>
  </si>
  <si>
    <t>€</t>
  </si>
  <si>
    <t>€/Tn</t>
  </si>
  <si>
    <t>Descarga</t>
  </si>
  <si>
    <t>Últ. Tarifa</t>
  </si>
  <si>
    <t>Ingreso €/tn socios</t>
  </si>
  <si>
    <t>Centro Log.</t>
  </si>
  <si>
    <t>MAD1</t>
  </si>
  <si>
    <t>Viaje</t>
  </si>
  <si>
    <t>JOSÉ DE GRACIA</t>
  </si>
  <si>
    <t>Yessica Quiñones</t>
  </si>
  <si>
    <t>cuenca-cuenca</t>
  </si>
  <si>
    <t>Martes y Jueves</t>
  </si>
  <si>
    <t>Sediur</t>
  </si>
  <si>
    <t>Pantany</t>
  </si>
  <si>
    <t>***COPI, S.A.</t>
  </si>
  <si>
    <t>noblejas-toledo</t>
  </si>
  <si>
    <t>cañete-cuenca</t>
  </si>
  <si>
    <t>JOSE ANTONIO GOMEZ</t>
  </si>
  <si>
    <t>tarancon-cuenca</t>
  </si>
  <si>
    <t>huete-cuenca</t>
  </si>
  <si>
    <t>Villaconejos-madrid</t>
  </si>
  <si>
    <t>collado Villalba</t>
  </si>
  <si>
    <t>Aranjuez Madrid</t>
  </si>
  <si>
    <t xml:space="preserve"> €/tn transp.</t>
  </si>
  <si>
    <t>MAD2</t>
  </si>
  <si>
    <t>arganda del rey-madrid</t>
  </si>
  <si>
    <t>Melen Logística</t>
  </si>
  <si>
    <t>madrid</t>
  </si>
  <si>
    <t>marchamalo-guadalajara</t>
  </si>
  <si>
    <t>LORENZO FLUXÁ</t>
  </si>
  <si>
    <t>torrelaguna-madrid</t>
  </si>
  <si>
    <t>mondejar-guadalajara</t>
  </si>
  <si>
    <t>coslada-madrid</t>
  </si>
  <si>
    <t>torrejon de ardoz-madrid</t>
  </si>
  <si>
    <t>horche-guadalajara</t>
  </si>
  <si>
    <t>Briuega-guadalajara</t>
  </si>
  <si>
    <t>***SYRO ARGENTI SL</t>
  </si>
  <si>
    <t>MAD3</t>
  </si>
  <si>
    <t>illescas-toledo</t>
  </si>
  <si>
    <t>Lunes y Miécoles</t>
  </si>
  <si>
    <t>alcorcon-madrid</t>
  </si>
  <si>
    <t>camarena-toledo</t>
  </si>
  <si>
    <t>pantoja-toledo</t>
  </si>
  <si>
    <t>mazarambroz-toledo</t>
  </si>
  <si>
    <t>madrid-madrid</t>
  </si>
  <si>
    <t>getafe-madrid</t>
  </si>
  <si>
    <t>Torrejón de Velasco (Madrid)</t>
  </si>
  <si>
    <t>El casar de Escalona (Toledo)</t>
  </si>
  <si>
    <t>EXTREMADURA 1</t>
  </si>
  <si>
    <t>ALEJANDRO GARCIA</t>
  </si>
  <si>
    <t>Amanda Carmona</t>
  </si>
  <si>
    <t>Jaraiz de la Vera (Caceres)</t>
  </si>
  <si>
    <t>Esquivel</t>
  </si>
  <si>
    <t>Vitigudino (Salamanca)</t>
  </si>
  <si>
    <t>Talavera de la Reina (Toledo)</t>
  </si>
  <si>
    <t>Desc. Adicional</t>
  </si>
  <si>
    <t>La Adrada (Avila)</t>
  </si>
  <si>
    <t>San Vicente de Alcantara (Badajoz)</t>
  </si>
  <si>
    <t>Diego Hernández</t>
  </si>
  <si>
    <t>Valencia de Alcantara (Badajoz)</t>
  </si>
  <si>
    <t>Candeleda (Avila)</t>
  </si>
  <si>
    <t>Cáceres</t>
  </si>
  <si>
    <t>Miajadas (Caceres)</t>
  </si>
  <si>
    <t>Ttes. Pereira</t>
  </si>
  <si>
    <t>Moraleja (Cáceres)</t>
  </si>
  <si>
    <t>Navalmoral de la Mata (Cáceres)</t>
  </si>
  <si>
    <t>Jerte (Cáceres)</t>
  </si>
  <si>
    <t>Hervas (Cáceres)</t>
  </si>
  <si>
    <t>Guijuelo (Salamanca)</t>
  </si>
  <si>
    <t>Valverde Del Fresno (Cáceres)</t>
  </si>
  <si>
    <t>Ciudad Rodrigo (Salamanca)</t>
  </si>
  <si>
    <t>***ALMACENES ANLOMA 2 S.L.</t>
  </si>
  <si>
    <t>EXTREMADURA 2</t>
  </si>
  <si>
    <t>MIGUEL ANGEL SEGOVIA</t>
  </si>
  <si>
    <t>Merida (Badajoz)</t>
  </si>
  <si>
    <t>Badajoz</t>
  </si>
  <si>
    <t>Fregenal de la sierra (Badajoz)</t>
  </si>
  <si>
    <t>Zafra (badajoz)</t>
  </si>
  <si>
    <t>Zahinos (Badajoz)</t>
  </si>
  <si>
    <t>zalamea de la serena (Badajoz)</t>
  </si>
  <si>
    <t>Peñarroya-Pueblonuevo (cordoba)</t>
  </si>
  <si>
    <t>AVILA-SEGOVIA LEON</t>
  </si>
  <si>
    <t>San pedro del arroyo</t>
  </si>
  <si>
    <t>Nava de la Asunción (Ávila)</t>
  </si>
  <si>
    <t>Amavida (Ávila)</t>
  </si>
  <si>
    <t>Parada de Rubiales (Salamanca)</t>
  </si>
  <si>
    <t>Arevalo (Ávila)</t>
  </si>
  <si>
    <t>Hoyo De Pinares (Ávila)</t>
  </si>
  <si>
    <t>Cuellar (Segovia)</t>
  </si>
  <si>
    <t>Hontoria (Segovia)</t>
  </si>
  <si>
    <t>Medina del Campo (Valladolid)</t>
  </si>
  <si>
    <t>Castellanos de Moriscos</t>
  </si>
  <si>
    <t>Avila</t>
  </si>
  <si>
    <t>MADRID</t>
  </si>
  <si>
    <t>ALCALA</t>
  </si>
  <si>
    <t>N/A</t>
  </si>
  <si>
    <t>ALCOBENDAS</t>
  </si>
  <si>
    <t>GETAFE</t>
  </si>
  <si>
    <t>PINTO</t>
  </si>
  <si>
    <t>tavanera</t>
  </si>
  <si>
    <t>ALCORCON</t>
  </si>
  <si>
    <t>ATOCHA</t>
  </si>
  <si>
    <t>GARCIA NOBLEJAS</t>
  </si>
  <si>
    <t>VALLADOLID</t>
  </si>
  <si>
    <t>Palencia</t>
  </si>
  <si>
    <t>Benavente</t>
  </si>
  <si>
    <t>FUENLABRADA</t>
  </si>
  <si>
    <t>PORTU 4</t>
  </si>
  <si>
    <t>Ferreira do Alentejo (Portugal)</t>
  </si>
  <si>
    <t>lunes y miercoles</t>
  </si>
  <si>
    <t>PANTANY LOGISTIC SL</t>
  </si>
  <si>
    <t>ene.-25</t>
  </si>
  <si>
    <t>Porto da Carne - Guarda (Portugal)</t>
  </si>
  <si>
    <t>Guarda</t>
  </si>
  <si>
    <t>Évora (Portugal)</t>
  </si>
  <si>
    <t>TransTDF</t>
  </si>
  <si>
    <t>feb.-25</t>
  </si>
  <si>
    <t>Maçao - Santarem (Portugal)</t>
  </si>
  <si>
    <t>Trancoso - Guarda (Portugal)</t>
  </si>
  <si>
    <t>Tortosendo - Castelo (Portugal)</t>
  </si>
  <si>
    <t>Oliveira do Bairro (Portugal)</t>
  </si>
  <si>
    <t>***CANOLIVA EQUIP. TEC. DE CANALIZAÇAO E REP. LDA</t>
  </si>
  <si>
    <t>Oliveira d'Hospital (Portugal)</t>
  </si>
  <si>
    <t>Aldeia S.Antonio (Sabugal, Portugal)</t>
  </si>
  <si>
    <t>Trans TDF</t>
  </si>
  <si>
    <t>Coimbra (Portugal)</t>
  </si>
  <si>
    <t>Fátima (Portugal)</t>
  </si>
  <si>
    <t>Crato - Portalegre (Portugal)</t>
  </si>
  <si>
    <t>Frade da cima-alpiarca 2090-2017 santarem</t>
  </si>
  <si>
    <t>Vila vicosa-Evora</t>
  </si>
  <si>
    <t>Media ingreso €/tn Centr. Log.</t>
  </si>
  <si>
    <t>getafe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</si>
</sst>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(&quot;€&quot;* #,##0.00_);_(&quot;€&quot;* \(#,##0.00\);_(&quot;€&quot;* &quot;-&quot;??_);_(@_)"/>
    <numFmt numFmtId="165" formatCode="&quot;€&quot;#,##0.00_);[Red]\(&quot;€&quot;#,##0.00\)"/>
    <numFmt numFmtId="166" formatCode="&quot;€&quot;#,##0_);[Red]\(&quot;€&quot;#,##0\)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1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164" fontId="3" fillId="0" borderId="0" applyFont="0" applyFill="0" applyBorder="0" applyAlignment="0" applyProtection="0"/>
  </cellStyleXfs>
  <cellXfs count="197">
    <xf numFmtId="0" fontId="0" fillId="0" borderId="0" xfId="0"/>
    <xf numFmtId="0" fontId="1" fillId="2" borderId="0" xfId="0" applyFont="1" applyFill="1"/>
    <xf numFmtId="0" fontId="2" fillId="0" borderId="0" xfId="1"/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wrapText="1"/>
    </xf>
    <xf numFmtId="0" fontId="1" fillId="4" borderId="2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6" xfId="0" applyFont="1" applyFill="1" applyBorder="1"/>
    <xf numFmtId="0" fontId="1" fillId="4" borderId="0" xfId="0" applyFont="1" applyFill="1" applyAlignment="1">
      <alignment horizontal="center"/>
    </xf>
    <xf numFmtId="0" fontId="5" fillId="5" borderId="7" xfId="0" applyFont="1" applyFill="1" applyBorder="1" applyAlignment="1">
      <alignment horizontal="center" vertical="center" textRotation="255" wrapText="1"/>
    </xf>
    <xf numFmtId="0" fontId="0" fillId="6" borderId="8" xfId="0" applyFill="1" applyBorder="1" applyAlignment="1">
      <alignment vertical="center"/>
    </xf>
    <xf numFmtId="0" fontId="6" fillId="0" borderId="9" xfId="0" applyFont="1" applyBorder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8" fillId="0" borderId="12" xfId="0" applyFont="1" applyBorder="1"/>
    <xf numFmtId="0" fontId="0" fillId="0" borderId="13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164" fontId="0" fillId="0" borderId="13" xfId="2" applyFont="1" applyBorder="1" applyAlignment="1">
      <alignment horizontal="center" vertical="center"/>
    </xf>
    <xf numFmtId="17" fontId="0" fillId="0" borderId="14" xfId="0" applyNumberFormat="1" applyBorder="1" applyAlignment="1">
      <alignment horizontal="center" vertical="center"/>
    </xf>
    <xf numFmtId="164" fontId="0" fillId="0" borderId="4" xfId="2" applyFont="1" applyBorder="1"/>
    <xf numFmtId="44" fontId="0" fillId="0" borderId="0" xfId="0" applyNumberFormat="1"/>
    <xf numFmtId="0" fontId="5" fillId="5" borderId="15" xfId="0" applyFont="1" applyFill="1" applyBorder="1" applyAlignment="1">
      <alignment horizontal="center" vertical="center" textRotation="255" wrapText="1"/>
    </xf>
    <xf numFmtId="0" fontId="0" fillId="6" borderId="16" xfId="0" applyFill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7" fillId="0" borderId="18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8" fillId="3" borderId="4" xfId="0" applyFont="1" applyFill="1" applyBorder="1"/>
    <xf numFmtId="0" fontId="8" fillId="0" borderId="4" xfId="0" applyFont="1" applyBorder="1"/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0" fillId="0" borderId="5" xfId="2" applyFont="1" applyBorder="1" applyAlignment="1">
      <alignment horizontal="center" vertical="center"/>
    </xf>
    <xf numFmtId="17" fontId="0" fillId="0" borderId="19" xfId="0" applyNumberForma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164" fontId="0" fillId="0" borderId="11" xfId="2" applyFont="1" applyBorder="1" applyAlignment="1">
      <alignment horizontal="center" vertical="center"/>
    </xf>
    <xf numFmtId="17" fontId="0" fillId="0" borderId="20" xfId="0" applyNumberForma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0" borderId="4" xfId="2" applyFont="1" applyBorder="1" applyAlignment="1">
      <alignment horizontal="center" vertical="center"/>
    </xf>
    <xf numFmtId="0" fontId="8" fillId="7" borderId="18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0" fillId="6" borderId="21" xfId="0" applyFill="1" applyBorder="1" applyAlignment="1">
      <alignment vertical="center"/>
    </xf>
    <xf numFmtId="0" fontId="8" fillId="7" borderId="3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164" fontId="0" fillId="0" borderId="2" xfId="2" applyFont="1" applyBorder="1" applyAlignment="1">
      <alignment horizontal="center" vertical="center"/>
    </xf>
    <xf numFmtId="0" fontId="0" fillId="6" borderId="22" xfId="0" applyFill="1" applyBorder="1" applyAlignment="1">
      <alignment vertical="center"/>
    </xf>
    <xf numFmtId="0" fontId="8" fillId="7" borderId="23" xfId="0" applyFont="1" applyFill="1" applyBorder="1" applyAlignment="1">
      <alignment horizontal="center"/>
    </xf>
    <xf numFmtId="0" fontId="9" fillId="3" borderId="24" xfId="0" applyFont="1" applyFill="1" applyBorder="1" applyAlignment="1">
      <alignment horizontal="left"/>
    </xf>
    <xf numFmtId="0" fontId="9" fillId="0" borderId="24" xfId="0" applyFon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164" fontId="0" fillId="0" borderId="24" xfId="2" applyFont="1" applyBorder="1" applyAlignment="1">
      <alignment horizontal="center" vertical="center"/>
    </xf>
    <xf numFmtId="164" fontId="0" fillId="0" borderId="25" xfId="2" applyFont="1" applyBorder="1" applyAlignment="1">
      <alignment horizontal="center" vertical="center"/>
    </xf>
    <xf numFmtId="17" fontId="0" fillId="0" borderId="26" xfId="0" applyNumberFormat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7" fillId="8" borderId="27" xfId="0" applyFont="1" applyFill="1" applyBorder="1" applyAlignment="1">
      <alignment horizontal="center"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/>
    </xf>
    <xf numFmtId="0" fontId="9" fillId="8" borderId="29" xfId="0" applyFont="1" applyFill="1" applyBorder="1" applyAlignment="1">
      <alignment horizontal="left"/>
    </xf>
    <xf numFmtId="0" fontId="0" fillId="8" borderId="29" xfId="0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 vertical="center" wrapText="1"/>
    </xf>
    <xf numFmtId="164" fontId="4" fillId="8" borderId="29" xfId="2" applyFont="1" applyFill="1" applyBorder="1" applyAlignment="1">
      <alignment horizontal="center" vertical="center"/>
    </xf>
    <xf numFmtId="0" fontId="4" fillId="8" borderId="29" xfId="0" applyFont="1" applyFill="1" applyBorder="1" applyAlignment="1">
      <alignment horizontal="center"/>
    </xf>
    <xf numFmtId="17" fontId="4" fillId="8" borderId="30" xfId="0" applyNumberFormat="1" applyFont="1" applyFill="1" applyBorder="1" applyAlignment="1">
      <alignment horizontal="center" vertical="center"/>
    </xf>
    <xf numFmtId="164" fontId="4" fillId="8" borderId="31" xfId="0" applyNumberFormat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3" borderId="11" xfId="0" applyFont="1" applyFill="1" applyBorder="1"/>
    <xf numFmtId="0" fontId="8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64" fontId="0" fillId="0" borderId="4" xfId="2" applyFont="1" applyFill="1" applyBorder="1"/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3" borderId="2" xfId="0" applyFont="1" applyFill="1" applyBorder="1"/>
    <xf numFmtId="0" fontId="8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8" fillId="8" borderId="27" xfId="0" applyFont="1" applyFill="1" applyBorder="1" applyAlignment="1">
      <alignment horizontal="center" vertical="center" wrapText="1"/>
    </xf>
    <xf numFmtId="0" fontId="8" fillId="8" borderId="29" xfId="0" applyFont="1" applyFill="1" applyBorder="1"/>
    <xf numFmtId="164" fontId="0" fillId="8" borderId="29" xfId="2" applyFont="1" applyFill="1" applyBorder="1" applyAlignment="1">
      <alignment horizontal="center" vertical="center"/>
    </xf>
    <xf numFmtId="0" fontId="0" fillId="8" borderId="29" xfId="0" applyFill="1" applyBorder="1" applyAlignment="1">
      <alignment horizontal="center"/>
    </xf>
    <xf numFmtId="17" fontId="0" fillId="8" borderId="30" xfId="0" applyNumberFormat="1" applyFill="1" applyBorder="1" applyAlignment="1">
      <alignment horizontal="center" vertical="center"/>
    </xf>
    <xf numFmtId="0" fontId="8" fillId="3" borderId="12" xfId="0" applyFont="1" applyFill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64" fontId="0" fillId="0" borderId="12" xfId="2" applyFont="1" applyBorder="1" applyAlignment="1">
      <alignment horizontal="center" vertical="center"/>
    </xf>
    <xf numFmtId="17" fontId="0" fillId="0" borderId="32" xfId="0" applyNumberFormat="1" applyBorder="1" applyAlignment="1">
      <alignment horizontal="center" vertical="center"/>
    </xf>
    <xf numFmtId="17" fontId="0" fillId="0" borderId="33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0" fillId="9" borderId="18" xfId="0" applyFont="1" applyFill="1" applyBorder="1" applyAlignment="1">
      <alignment horizontal="center" vertical="center" wrapText="1"/>
    </xf>
    <xf numFmtId="0" fontId="0" fillId="0" borderId="4" xfId="0" applyBorder="1"/>
    <xf numFmtId="17" fontId="0" fillId="0" borderId="34" xfId="0" applyNumberFormat="1" applyBorder="1" applyAlignment="1">
      <alignment horizontal="center" vertical="center"/>
    </xf>
    <xf numFmtId="0" fontId="0" fillId="8" borderId="13" xfId="0" applyFill="1" applyBorder="1" applyAlignment="1">
      <alignment horizontal="center"/>
    </xf>
    <xf numFmtId="0" fontId="1" fillId="6" borderId="8" xfId="0" applyFont="1" applyFill="1" applyBorder="1" applyAlignment="1">
      <alignment vertical="center"/>
    </xf>
    <xf numFmtId="0" fontId="8" fillId="7" borderId="35" xfId="0" applyFont="1" applyFill="1" applyBorder="1" applyAlignment="1">
      <alignment horizontal="center" vertical="center" wrapText="1"/>
    </xf>
    <xf numFmtId="0" fontId="11" fillId="3" borderId="12" xfId="0" applyFont="1" applyFill="1" applyBorder="1"/>
    <xf numFmtId="164" fontId="0" fillId="0" borderId="14" xfId="2" applyFont="1" applyBorder="1" applyAlignment="1">
      <alignment horizontal="center" vertical="center"/>
    </xf>
    <xf numFmtId="0" fontId="1" fillId="6" borderId="16" xfId="0" applyFont="1" applyFill="1" applyBorder="1" applyAlignment="1">
      <alignment vertical="center"/>
    </xf>
    <xf numFmtId="0" fontId="12" fillId="3" borderId="4" xfId="0" applyFont="1" applyFill="1" applyBorder="1"/>
    <xf numFmtId="0" fontId="11" fillId="3" borderId="4" xfId="0" applyFont="1" applyFill="1" applyBorder="1"/>
    <xf numFmtId="164" fontId="0" fillId="0" borderId="19" xfId="2" applyFont="1" applyBorder="1" applyAlignment="1">
      <alignment horizontal="center" vertical="center"/>
    </xf>
    <xf numFmtId="164" fontId="0" fillId="0" borderId="20" xfId="2" applyFont="1" applyBorder="1" applyAlignment="1">
      <alignment horizontal="center" vertical="center"/>
    </xf>
    <xf numFmtId="164" fontId="0" fillId="0" borderId="33" xfId="2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64" fontId="0" fillId="0" borderId="2" xfId="2" applyFont="1" applyBorder="1" applyAlignment="1">
      <alignment vertical="center"/>
    </xf>
    <xf numFmtId="0" fontId="13" fillId="0" borderId="5" xfId="0" applyFont="1" applyBorder="1" applyAlignment="1">
      <alignment horizontal="center" vertical="center" wrapText="1"/>
    </xf>
    <xf numFmtId="164" fontId="0" fillId="0" borderId="5" xfId="2" applyFont="1" applyBorder="1" applyAlignment="1">
      <alignment vertical="center"/>
    </xf>
    <xf numFmtId="0" fontId="13" fillId="3" borderId="11" xfId="0" applyFont="1" applyFill="1" applyBorder="1" applyAlignment="1">
      <alignment horizontal="center"/>
    </xf>
    <xf numFmtId="0" fontId="0" fillId="3" borderId="11" xfId="0" applyFill="1" applyBorder="1"/>
    <xf numFmtId="164" fontId="0" fillId="0" borderId="34" xfId="2" applyFont="1" applyBorder="1" applyAlignment="1">
      <alignment horizontal="center" vertical="center"/>
    </xf>
    <xf numFmtId="0" fontId="1" fillId="6" borderId="22" xfId="0" applyFont="1" applyFill="1" applyBorder="1" applyAlignment="1">
      <alignment vertical="center"/>
    </xf>
    <xf numFmtId="0" fontId="8" fillId="7" borderId="23" xfId="0" applyFont="1" applyFill="1" applyBorder="1" applyAlignment="1">
      <alignment horizontal="center" vertical="center" wrapText="1"/>
    </xf>
    <xf numFmtId="0" fontId="11" fillId="3" borderId="24" xfId="0" applyFont="1" applyFill="1" applyBorder="1"/>
    <xf numFmtId="0" fontId="11" fillId="0" borderId="24" xfId="0" applyFont="1" applyBorder="1"/>
    <xf numFmtId="0" fontId="0" fillId="3" borderId="25" xfId="0" applyFill="1" applyBorder="1" applyAlignment="1">
      <alignment horizontal="center" vertical="center"/>
    </xf>
    <xf numFmtId="17" fontId="0" fillId="0" borderId="36" xfId="0" applyNumberFormat="1" applyBorder="1" applyAlignment="1">
      <alignment horizontal="center" vertical="center"/>
    </xf>
    <xf numFmtId="0" fontId="11" fillId="8" borderId="29" xfId="0" applyFont="1" applyFill="1" applyBorder="1"/>
    <xf numFmtId="0" fontId="0" fillId="8" borderId="37" xfId="0" applyFill="1" applyBorder="1" applyAlignment="1">
      <alignment horizontal="center" vertical="center"/>
    </xf>
    <xf numFmtId="0" fontId="4" fillId="8" borderId="25" xfId="0" applyFont="1" applyFill="1" applyBorder="1" applyAlignment="1">
      <alignment horizontal="center" vertical="center" wrapText="1"/>
    </xf>
    <xf numFmtId="164" fontId="0" fillId="8" borderId="25" xfId="2" applyFont="1" applyFill="1" applyBorder="1" applyAlignment="1">
      <alignment horizontal="center" vertical="center"/>
    </xf>
    <xf numFmtId="164" fontId="4" fillId="8" borderId="25" xfId="2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6" borderId="38" xfId="0" applyFill="1" applyBorder="1" applyAlignment="1">
      <alignment vertical="center"/>
    </xf>
    <xf numFmtId="0" fontId="12" fillId="3" borderId="11" xfId="0" applyFont="1" applyFill="1" applyBorder="1"/>
    <xf numFmtId="0" fontId="11" fillId="3" borderId="11" xfId="0" applyFont="1" applyFill="1" applyBorder="1"/>
    <xf numFmtId="0" fontId="0" fillId="6" borderId="0" xfId="0" applyFill="1" applyAlignment="1">
      <alignment vertical="center"/>
    </xf>
    <xf numFmtId="165" fontId="0" fillId="0" borderId="4" xfId="2" applyNumberFormat="1" applyFont="1" applyFill="1" applyBorder="1"/>
    <xf numFmtId="0" fontId="0" fillId="10" borderId="0" xfId="0" applyFill="1"/>
    <xf numFmtId="0" fontId="1" fillId="10" borderId="0" xfId="0" applyFont="1" applyFill="1"/>
    <xf numFmtId="0" fontId="12" fillId="3" borderId="24" xfId="0" applyFont="1" applyFill="1" applyBorder="1"/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6" borderId="8" xfId="0" applyFill="1" applyBorder="1" applyAlignment="1">
      <alignment vertical="center" wrapText="1"/>
    </xf>
    <xf numFmtId="0" fontId="0" fillId="0" borderId="5" xfId="0" applyBorder="1" applyAlignment="1">
      <alignment horizontal="center" wrapText="1"/>
    </xf>
    <xf numFmtId="0" fontId="0" fillId="6" borderId="16" xfId="0" applyFill="1" applyBorder="1" applyAlignment="1">
      <alignment vertical="center" wrapText="1"/>
    </xf>
    <xf numFmtId="166" fontId="0" fillId="0" borderId="5" xfId="2" applyNumberFormat="1" applyFont="1" applyBorder="1" applyAlignment="1">
      <alignment vertical="center"/>
    </xf>
    <xf numFmtId="0" fontId="0" fillId="0" borderId="11" xfId="0" applyBorder="1" applyAlignment="1">
      <alignment horizontal="center" wrapText="1"/>
    </xf>
    <xf numFmtId="164" fontId="0" fillId="0" borderId="11" xfId="2" applyFont="1" applyBorder="1" applyAlignment="1">
      <alignment vertical="center"/>
    </xf>
    <xf numFmtId="0" fontId="0" fillId="0" borderId="2" xfId="0" applyBorder="1" applyAlignment="1">
      <alignment vertical="center"/>
    </xf>
    <xf numFmtId="0" fontId="8" fillId="10" borderId="18" xfId="0" applyFont="1" applyFill="1" applyBorder="1" applyAlignment="1">
      <alignment horizontal="center" vertical="center" wrapText="1"/>
    </xf>
    <xf numFmtId="0" fontId="8" fillId="10" borderId="4" xfId="0" applyFont="1" applyFill="1" applyBorder="1"/>
    <xf numFmtId="0" fontId="0" fillId="0" borderId="5" xfId="0" applyBorder="1" applyAlignment="1">
      <alignment vertical="center"/>
    </xf>
    <xf numFmtId="166" fontId="0" fillId="0" borderId="5" xfId="2" applyNumberFormat="1" applyFont="1" applyBorder="1" applyAlignment="1">
      <alignment horizontal="right" vertical="center"/>
    </xf>
    <xf numFmtId="0" fontId="0" fillId="8" borderId="0" xfId="0" applyFill="1" applyAlignment="1">
      <alignment horizontal="center" vertical="center" wrapText="1"/>
    </xf>
    <xf numFmtId="0" fontId="4" fillId="8" borderId="13" xfId="0" applyFont="1" applyFill="1" applyBorder="1" applyAlignment="1">
      <alignment horizontal="center" vertical="center" wrapText="1"/>
    </xf>
    <xf numFmtId="164" fontId="0" fillId="8" borderId="13" xfId="2" applyFont="1" applyFill="1" applyBorder="1" applyAlignment="1">
      <alignment horizontal="center"/>
    </xf>
    <xf numFmtId="164" fontId="4" fillId="8" borderId="13" xfId="2" applyFont="1" applyFill="1" applyBorder="1" applyAlignment="1">
      <alignment horizontal="center"/>
    </xf>
    <xf numFmtId="0" fontId="0" fillId="8" borderId="13" xfId="0" applyFill="1" applyBorder="1" applyAlignment="1">
      <alignment horizontal="center" vertical="center"/>
    </xf>
    <xf numFmtId="17" fontId="0" fillId="8" borderId="39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7" xfId="0" applyBorder="1"/>
    <xf numFmtId="0" fontId="0" fillId="0" borderId="38" xfId="0" applyBorder="1"/>
    <xf numFmtId="164" fontId="0" fillId="0" borderId="38" xfId="2" applyFont="1" applyBorder="1"/>
    <xf numFmtId="0" fontId="0" fillId="0" borderId="33" xfId="0" applyBorder="1" applyAlignment="1">
      <alignment horizontal="center" vertical="center"/>
    </xf>
    <xf numFmtId="0" fontId="0" fillId="0" borderId="15" xfId="0" applyBorder="1"/>
    <xf numFmtId="164" fontId="0" fillId="0" borderId="0" xfId="2" applyFont="1" applyBorder="1"/>
    <xf numFmtId="0" fontId="0" fillId="6" borderId="22" xfId="0" applyFill="1" applyBorder="1" applyAlignment="1">
      <alignment vertical="center" wrapText="1"/>
    </xf>
    <xf numFmtId="0" fontId="6" fillId="0" borderId="40" xfId="0" applyFont="1" applyBorder="1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vertical="center" wrapText="1"/>
    </xf>
    <xf numFmtId="0" fontId="1" fillId="3" borderId="41" xfId="0" applyFon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164" fontId="0" fillId="3" borderId="4" xfId="2" applyFont="1" applyFill="1" applyBorder="1" applyAlignment="1">
      <alignment vertical="center"/>
    </xf>
    <xf numFmtId="164" fontId="0" fillId="3" borderId="5" xfId="2" applyFont="1" applyFill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  <xf numFmtId="164" fontId="0" fillId="3" borderId="18" xfId="2" applyFont="1" applyFill="1" applyBorder="1"/>
    <xf numFmtId="0" fontId="1" fillId="6" borderId="5" xfId="0" applyFont="1" applyFill="1" applyBorder="1" applyAlignment="1">
      <alignment vertical="center" wrapText="1"/>
    </xf>
    <xf numFmtId="0" fontId="0" fillId="3" borderId="5" xfId="0" applyFill="1" applyBorder="1" applyAlignment="1">
      <alignment vertical="center"/>
    </xf>
    <xf numFmtId="164" fontId="0" fillId="3" borderId="5" xfId="2" applyFont="1" applyFill="1" applyBorder="1" applyAlignment="1">
      <alignment vertical="center"/>
    </xf>
    <xf numFmtId="164" fontId="0" fillId="3" borderId="4" xfId="2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 textRotation="255" wrapText="1"/>
    </xf>
    <xf numFmtId="0" fontId="1" fillId="6" borderId="25" xfId="0" applyFont="1" applyFill="1" applyBorder="1" applyAlignment="1">
      <alignment vertical="center" wrapText="1"/>
    </xf>
    <xf numFmtId="0" fontId="7" fillId="8" borderId="43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8" fillId="8" borderId="13" xfId="0" applyFont="1" applyFill="1" applyBorder="1"/>
    <xf numFmtId="0" fontId="0" fillId="8" borderId="14" xfId="0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 wrapText="1"/>
    </xf>
    <xf numFmtId="164" fontId="0" fillId="8" borderId="29" xfId="2" applyFont="1" applyFill="1" applyBorder="1" applyAlignment="1">
      <alignment horizontal="center"/>
    </xf>
    <xf numFmtId="164" fontId="4" fillId="8" borderId="29" xfId="2" applyFont="1" applyFill="1" applyBorder="1" applyAlignment="1">
      <alignment horizontal="center"/>
    </xf>
    <xf numFmtId="164" fontId="4" fillId="8" borderId="44" xfId="0" applyNumberFormat="1" applyFont="1" applyFill="1" applyBorder="1" applyAlignment="1">
      <alignment horizontal="center" vertical="center"/>
    </xf>
    <xf numFmtId="44" fontId="0" fillId="3" borderId="0" xfId="0" applyNumberFormat="1" applyFill="1"/>
    <xf numFmtId="0" fontId="1" fillId="0" borderId="0" xfId="0" applyFont="1" applyAlignment="1">
      <alignment vertical="center"/>
    </xf>
    <xf numFmtId="0" fontId="14" fillId="8" borderId="28" xfId="0" applyFont="1" applyFill="1" applyBorder="1" applyAlignment="1">
      <alignment horizontal="center" vertical="center" wrapText="1"/>
    </xf>
    <xf numFmtId="164" fontId="15" fillId="8" borderId="44" xfId="0" applyNumberFormat="1" applyFont="1" applyFill="1" applyBorder="1" applyAlignment="1">
      <alignment horizontal="center" vertical="center"/>
    </xf>
  </cellXfs>
  <cellStyles count="3">
    <cellStyle name="Moneda 2 2" xfId="2" xr:uid="{06FE4178-512C-4C53-ABC6-77C7CAE6E5CE}"/>
    <cellStyle name="Normal" xfId="0" builtinId="0"/>
    <cellStyle name="Normal 2" xfId="1" xr:uid="{142CAA99-3BAE-4A04-9630-FA94FB64FE0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F9B3B-0859-44DD-9DC6-7C5AAB17DE53}">
  <dimension ref="A1:D107"/>
  <sheetViews>
    <sheetView workbookViewId="0">
      <selection sqref="A1:D1048576"/>
    </sheetView>
  </sheetViews>
  <sheetFormatPr baseColWidth="10" defaultRowHeight="15" x14ac:dyDescent="0.25"/>
  <cols>
    <col min="1" max="1" width="11" customWidth="1"/>
    <col min="2" max="2" width="51.42578125" bestFit="1" customWidth="1"/>
    <col min="3" max="3" width="108.28515625" bestFit="1" customWidth="1"/>
    <col min="4" max="4" width="3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558002</v>
      </c>
      <c r="B2" s="2" t="s">
        <v>4</v>
      </c>
      <c r="C2" t="s">
        <v>5</v>
      </c>
      <c r="D2" t="s">
        <v>6</v>
      </c>
    </row>
    <row r="3" spans="1:4" x14ac:dyDescent="0.25">
      <c r="A3">
        <v>478001</v>
      </c>
      <c r="B3" s="2" t="s">
        <v>7</v>
      </c>
      <c r="C3" t="s">
        <v>8</v>
      </c>
      <c r="D3" t="s">
        <v>6</v>
      </c>
    </row>
    <row r="4" spans="1:4" x14ac:dyDescent="0.25">
      <c r="A4">
        <v>324000</v>
      </c>
      <c r="B4" t="s">
        <v>9</v>
      </c>
      <c r="C4" t="s">
        <v>10</v>
      </c>
      <c r="D4" t="s">
        <v>11</v>
      </c>
    </row>
    <row r="5" spans="1:4" x14ac:dyDescent="0.25">
      <c r="A5">
        <v>335000</v>
      </c>
      <c r="B5" t="s">
        <v>12</v>
      </c>
      <c r="C5" t="s">
        <v>13</v>
      </c>
      <c r="D5" t="s">
        <v>11</v>
      </c>
    </row>
    <row r="6" spans="1:4" x14ac:dyDescent="0.25">
      <c r="A6">
        <v>562001</v>
      </c>
      <c r="B6" t="s">
        <v>14</v>
      </c>
      <c r="C6" t="s">
        <v>15</v>
      </c>
      <c r="D6" t="s">
        <v>11</v>
      </c>
    </row>
    <row r="7" spans="1:4" x14ac:dyDescent="0.25">
      <c r="A7">
        <v>586000</v>
      </c>
      <c r="B7" t="s">
        <v>16</v>
      </c>
      <c r="C7" t="s">
        <v>17</v>
      </c>
      <c r="D7" t="s">
        <v>11</v>
      </c>
    </row>
    <row r="8" spans="1:4" x14ac:dyDescent="0.25">
      <c r="A8">
        <v>336000</v>
      </c>
      <c r="B8" t="s">
        <v>18</v>
      </c>
      <c r="C8" t="s">
        <v>19</v>
      </c>
      <c r="D8" t="s">
        <v>11</v>
      </c>
    </row>
    <row r="9" spans="1:4" x14ac:dyDescent="0.25">
      <c r="A9">
        <v>336001</v>
      </c>
      <c r="B9" t="s">
        <v>20</v>
      </c>
      <c r="C9" t="s">
        <v>19</v>
      </c>
      <c r="D9" t="s">
        <v>11</v>
      </c>
    </row>
    <row r="10" spans="1:4" x14ac:dyDescent="0.25">
      <c r="A10">
        <v>547010</v>
      </c>
      <c r="B10" t="s">
        <v>21</v>
      </c>
      <c r="C10" t="s">
        <v>22</v>
      </c>
      <c r="D10" t="s">
        <v>11</v>
      </c>
    </row>
    <row r="11" spans="1:4" x14ac:dyDescent="0.25">
      <c r="A11">
        <v>547085</v>
      </c>
      <c r="B11" t="s">
        <v>23</v>
      </c>
      <c r="C11" t="s">
        <v>24</v>
      </c>
      <c r="D11" t="s">
        <v>11</v>
      </c>
    </row>
    <row r="12" spans="1:4" x14ac:dyDescent="0.25">
      <c r="A12">
        <v>315000</v>
      </c>
      <c r="B12" t="s">
        <v>25</v>
      </c>
      <c r="C12" t="s">
        <v>26</v>
      </c>
      <c r="D12" t="s">
        <v>11</v>
      </c>
    </row>
    <row r="13" spans="1:4" x14ac:dyDescent="0.25">
      <c r="A13">
        <v>323001</v>
      </c>
      <c r="B13" t="s">
        <v>27</v>
      </c>
      <c r="C13" t="s">
        <v>28</v>
      </c>
      <c r="D13" t="s">
        <v>11</v>
      </c>
    </row>
    <row r="14" spans="1:4" x14ac:dyDescent="0.25">
      <c r="A14">
        <v>547052</v>
      </c>
      <c r="B14" t="s">
        <v>29</v>
      </c>
      <c r="C14" t="s">
        <v>30</v>
      </c>
      <c r="D14" t="s">
        <v>11</v>
      </c>
    </row>
    <row r="15" spans="1:4" x14ac:dyDescent="0.25">
      <c r="A15">
        <v>437000</v>
      </c>
      <c r="B15" t="s">
        <v>31</v>
      </c>
      <c r="C15" t="s">
        <v>32</v>
      </c>
      <c r="D15" t="s">
        <v>11</v>
      </c>
    </row>
    <row r="16" spans="1:4" x14ac:dyDescent="0.25">
      <c r="A16">
        <v>421000</v>
      </c>
      <c r="B16" t="s">
        <v>33</v>
      </c>
      <c r="C16" t="s">
        <v>34</v>
      </c>
      <c r="D16" t="s">
        <v>11</v>
      </c>
    </row>
    <row r="17" spans="1:4" x14ac:dyDescent="0.25">
      <c r="A17">
        <v>405000</v>
      </c>
      <c r="B17" t="s">
        <v>35</v>
      </c>
      <c r="C17" t="s">
        <v>36</v>
      </c>
      <c r="D17" t="s">
        <v>11</v>
      </c>
    </row>
    <row r="18" spans="1:4" x14ac:dyDescent="0.25">
      <c r="A18">
        <v>547058</v>
      </c>
      <c r="B18" t="s">
        <v>37</v>
      </c>
      <c r="C18" t="s">
        <v>38</v>
      </c>
      <c r="D18" t="s">
        <v>11</v>
      </c>
    </row>
    <row r="19" spans="1:4" x14ac:dyDescent="0.25">
      <c r="A19">
        <v>431000</v>
      </c>
      <c r="B19" t="s">
        <v>39</v>
      </c>
      <c r="C19" t="s">
        <v>40</v>
      </c>
      <c r="D19" t="s">
        <v>11</v>
      </c>
    </row>
    <row r="20" spans="1:4" x14ac:dyDescent="0.25">
      <c r="A20">
        <v>547119</v>
      </c>
      <c r="B20" t="s">
        <v>41</v>
      </c>
      <c r="C20" t="s">
        <v>42</v>
      </c>
      <c r="D20" t="s">
        <v>11</v>
      </c>
    </row>
    <row r="21" spans="1:4" x14ac:dyDescent="0.25">
      <c r="A21">
        <v>575783</v>
      </c>
      <c r="B21" t="s">
        <v>43</v>
      </c>
      <c r="C21" t="s">
        <v>44</v>
      </c>
      <c r="D21" t="s">
        <v>11</v>
      </c>
    </row>
    <row r="22" spans="1:4" x14ac:dyDescent="0.25">
      <c r="A22">
        <v>518001</v>
      </c>
      <c r="B22" t="s">
        <v>45</v>
      </c>
      <c r="C22" t="s">
        <v>46</v>
      </c>
      <c r="D22" t="s">
        <v>11</v>
      </c>
    </row>
    <row r="23" spans="1:4" x14ac:dyDescent="0.25">
      <c r="A23">
        <v>547147</v>
      </c>
      <c r="B23" t="s">
        <v>47</v>
      </c>
      <c r="C23" t="s">
        <v>48</v>
      </c>
      <c r="D23" t="s">
        <v>11</v>
      </c>
    </row>
    <row r="24" spans="1:4" x14ac:dyDescent="0.25">
      <c r="A24">
        <v>304000</v>
      </c>
      <c r="B24" t="s">
        <v>49</v>
      </c>
      <c r="C24" t="s">
        <v>50</v>
      </c>
      <c r="D24" t="s">
        <v>11</v>
      </c>
    </row>
    <row r="25" spans="1:4" x14ac:dyDescent="0.25">
      <c r="A25">
        <v>304001</v>
      </c>
      <c r="B25" t="s">
        <v>51</v>
      </c>
      <c r="C25" t="s">
        <v>52</v>
      </c>
      <c r="D25" t="s">
        <v>11</v>
      </c>
    </row>
    <row r="26" spans="1:4" x14ac:dyDescent="0.25">
      <c r="A26">
        <v>547012</v>
      </c>
      <c r="B26" t="s">
        <v>53</v>
      </c>
      <c r="C26" t="s">
        <v>54</v>
      </c>
      <c r="D26" t="s">
        <v>11</v>
      </c>
    </row>
    <row r="27" spans="1:4" x14ac:dyDescent="0.25">
      <c r="A27">
        <v>319000</v>
      </c>
      <c r="B27" t="s">
        <v>55</v>
      </c>
      <c r="C27" t="s">
        <v>56</v>
      </c>
      <c r="D27" t="s">
        <v>11</v>
      </c>
    </row>
    <row r="28" spans="1:4" x14ac:dyDescent="0.25">
      <c r="A28">
        <v>547088</v>
      </c>
      <c r="B28" t="s">
        <v>57</v>
      </c>
      <c r="C28" t="s">
        <v>58</v>
      </c>
      <c r="D28" t="s">
        <v>11</v>
      </c>
    </row>
    <row r="29" spans="1:4" x14ac:dyDescent="0.25">
      <c r="A29">
        <v>490000</v>
      </c>
      <c r="B29" t="s">
        <v>59</v>
      </c>
      <c r="C29" t="s">
        <v>60</v>
      </c>
      <c r="D29" t="s">
        <v>11</v>
      </c>
    </row>
    <row r="30" spans="1:4" x14ac:dyDescent="0.25">
      <c r="A30">
        <v>547114</v>
      </c>
      <c r="B30" t="s">
        <v>61</v>
      </c>
      <c r="C30" t="s">
        <v>62</v>
      </c>
      <c r="D30" t="s">
        <v>11</v>
      </c>
    </row>
    <row r="31" spans="1:4" x14ac:dyDescent="0.25">
      <c r="A31">
        <v>620000</v>
      </c>
      <c r="B31" t="s">
        <v>63</v>
      </c>
      <c r="C31" t="s">
        <v>64</v>
      </c>
      <c r="D31" t="s">
        <v>11</v>
      </c>
    </row>
    <row r="32" spans="1:4" x14ac:dyDescent="0.25">
      <c r="A32">
        <v>480000</v>
      </c>
      <c r="B32" t="s">
        <v>65</v>
      </c>
      <c r="C32" t="s">
        <v>66</v>
      </c>
      <c r="D32" t="s">
        <v>67</v>
      </c>
    </row>
    <row r="33" spans="1:4" x14ac:dyDescent="0.25">
      <c r="A33">
        <v>547051</v>
      </c>
      <c r="B33" t="s">
        <v>68</v>
      </c>
      <c r="C33" t="s">
        <v>69</v>
      </c>
      <c r="D33" t="s">
        <v>67</v>
      </c>
    </row>
    <row r="34" spans="1:4" x14ac:dyDescent="0.25">
      <c r="A34">
        <v>482000</v>
      </c>
      <c r="B34" t="s">
        <v>70</v>
      </c>
      <c r="C34" t="s">
        <v>71</v>
      </c>
      <c r="D34" t="s">
        <v>67</v>
      </c>
    </row>
    <row r="35" spans="1:4" x14ac:dyDescent="0.25">
      <c r="A35">
        <v>571000</v>
      </c>
      <c r="B35" t="s">
        <v>72</v>
      </c>
      <c r="C35" t="s">
        <v>73</v>
      </c>
      <c r="D35" t="s">
        <v>67</v>
      </c>
    </row>
    <row r="36" spans="1:4" x14ac:dyDescent="0.25">
      <c r="A36">
        <v>409000</v>
      </c>
      <c r="B36" t="s">
        <v>74</v>
      </c>
      <c r="C36" t="s">
        <v>75</v>
      </c>
      <c r="D36" t="s">
        <v>67</v>
      </c>
    </row>
    <row r="37" spans="1:4" x14ac:dyDescent="0.25">
      <c r="A37">
        <v>581000</v>
      </c>
      <c r="B37" t="s">
        <v>76</v>
      </c>
      <c r="C37" t="s">
        <v>77</v>
      </c>
      <c r="D37" t="s">
        <v>67</v>
      </c>
    </row>
    <row r="38" spans="1:4" x14ac:dyDescent="0.25">
      <c r="A38">
        <v>534000</v>
      </c>
      <c r="B38" t="s">
        <v>78</v>
      </c>
      <c r="C38" t="s">
        <v>79</v>
      </c>
      <c r="D38" t="s">
        <v>67</v>
      </c>
    </row>
    <row r="39" spans="1:4" x14ac:dyDescent="0.25">
      <c r="A39">
        <v>499000</v>
      </c>
      <c r="B39" t="s">
        <v>80</v>
      </c>
      <c r="C39" t="s">
        <v>81</v>
      </c>
      <c r="D39" t="s">
        <v>67</v>
      </c>
    </row>
    <row r="40" spans="1:4" x14ac:dyDescent="0.25">
      <c r="A40">
        <v>547082</v>
      </c>
      <c r="B40" t="s">
        <v>82</v>
      </c>
      <c r="C40" t="s">
        <v>83</v>
      </c>
      <c r="D40" t="s">
        <v>67</v>
      </c>
    </row>
    <row r="41" spans="1:4" x14ac:dyDescent="0.25">
      <c r="A41">
        <v>571001</v>
      </c>
      <c r="B41" t="s">
        <v>84</v>
      </c>
      <c r="C41" t="s">
        <v>85</v>
      </c>
      <c r="D41" t="s">
        <v>67</v>
      </c>
    </row>
    <row r="42" spans="1:4" x14ac:dyDescent="0.25">
      <c r="A42">
        <v>480002</v>
      </c>
      <c r="B42" t="s">
        <v>86</v>
      </c>
      <c r="C42" t="s">
        <v>87</v>
      </c>
      <c r="D42" t="s">
        <v>67</v>
      </c>
    </row>
    <row r="43" spans="1:4" x14ac:dyDescent="0.25">
      <c r="A43">
        <v>547071</v>
      </c>
      <c r="B43" t="s">
        <v>88</v>
      </c>
      <c r="C43" t="s">
        <v>89</v>
      </c>
      <c r="D43" t="s">
        <v>90</v>
      </c>
    </row>
    <row r="44" spans="1:4" x14ac:dyDescent="0.25">
      <c r="A44">
        <v>420000</v>
      </c>
      <c r="B44" t="s">
        <v>91</v>
      </c>
      <c r="C44" t="s">
        <v>92</v>
      </c>
      <c r="D44" t="s">
        <v>90</v>
      </c>
    </row>
    <row r="45" spans="1:4" x14ac:dyDescent="0.25">
      <c r="A45">
        <v>318000</v>
      </c>
      <c r="B45" t="s">
        <v>93</v>
      </c>
      <c r="C45" t="s">
        <v>94</v>
      </c>
      <c r="D45" t="s">
        <v>90</v>
      </c>
    </row>
    <row r="46" spans="1:4" x14ac:dyDescent="0.25">
      <c r="A46">
        <v>561000</v>
      </c>
      <c r="B46" t="s">
        <v>95</v>
      </c>
      <c r="C46" t="s">
        <v>96</v>
      </c>
      <c r="D46" t="s">
        <v>90</v>
      </c>
    </row>
    <row r="47" spans="1:4" x14ac:dyDescent="0.25">
      <c r="A47">
        <v>573000</v>
      </c>
      <c r="B47" t="s">
        <v>97</v>
      </c>
      <c r="C47" t="s">
        <v>98</v>
      </c>
      <c r="D47" t="s">
        <v>90</v>
      </c>
    </row>
    <row r="48" spans="1:4" x14ac:dyDescent="0.25">
      <c r="A48">
        <v>547029</v>
      </c>
      <c r="B48" t="s">
        <v>99</v>
      </c>
      <c r="C48" t="s">
        <v>100</v>
      </c>
      <c r="D48" t="s">
        <v>90</v>
      </c>
    </row>
    <row r="49" spans="1:4" x14ac:dyDescent="0.25">
      <c r="A49">
        <v>591000</v>
      </c>
      <c r="B49" t="s">
        <v>101</v>
      </c>
      <c r="C49" t="s">
        <v>102</v>
      </c>
      <c r="D49" t="s">
        <v>90</v>
      </c>
    </row>
    <row r="50" spans="1:4" x14ac:dyDescent="0.25">
      <c r="A50">
        <v>318001</v>
      </c>
      <c r="B50" t="s">
        <v>103</v>
      </c>
      <c r="C50" t="s">
        <v>104</v>
      </c>
      <c r="D50" t="s">
        <v>90</v>
      </c>
    </row>
    <row r="51" spans="1:4" x14ac:dyDescent="0.25">
      <c r="A51">
        <v>547117</v>
      </c>
      <c r="B51" t="s">
        <v>105</v>
      </c>
      <c r="C51" t="s">
        <v>106</v>
      </c>
      <c r="D51" t="s">
        <v>90</v>
      </c>
    </row>
    <row r="52" spans="1:4" x14ac:dyDescent="0.25">
      <c r="A52">
        <v>547130</v>
      </c>
      <c r="B52" t="s">
        <v>107</v>
      </c>
      <c r="C52" t="s">
        <v>108</v>
      </c>
      <c r="D52" t="s">
        <v>90</v>
      </c>
    </row>
    <row r="53" spans="1:4" x14ac:dyDescent="0.25">
      <c r="A53">
        <v>562004</v>
      </c>
      <c r="B53" t="s">
        <v>109</v>
      </c>
      <c r="C53" t="s">
        <v>110</v>
      </c>
      <c r="D53" t="s">
        <v>111</v>
      </c>
    </row>
    <row r="54" spans="1:4" x14ac:dyDescent="0.25">
      <c r="A54">
        <v>530000</v>
      </c>
      <c r="B54" t="s">
        <v>112</v>
      </c>
      <c r="C54" t="s">
        <v>113</v>
      </c>
      <c r="D54" t="s">
        <v>111</v>
      </c>
    </row>
    <row r="55" spans="1:4" x14ac:dyDescent="0.25">
      <c r="A55">
        <v>569000</v>
      </c>
      <c r="B55" t="s">
        <v>114</v>
      </c>
      <c r="C55" t="s">
        <v>115</v>
      </c>
      <c r="D55" t="s">
        <v>111</v>
      </c>
    </row>
    <row r="56" spans="1:4" x14ac:dyDescent="0.25">
      <c r="A56">
        <v>574000</v>
      </c>
      <c r="B56" t="s">
        <v>116</v>
      </c>
      <c r="C56" t="s">
        <v>117</v>
      </c>
      <c r="D56" t="s">
        <v>111</v>
      </c>
    </row>
    <row r="57" spans="1:4" x14ac:dyDescent="0.25">
      <c r="A57">
        <v>481000</v>
      </c>
      <c r="B57" t="s">
        <v>118</v>
      </c>
      <c r="C57" t="s">
        <v>119</v>
      </c>
      <c r="D57" t="s">
        <v>111</v>
      </c>
    </row>
    <row r="58" spans="1:4" x14ac:dyDescent="0.25">
      <c r="A58">
        <v>594000</v>
      </c>
      <c r="B58" t="s">
        <v>120</v>
      </c>
      <c r="C58" t="s">
        <v>121</v>
      </c>
      <c r="D58" t="s">
        <v>111</v>
      </c>
    </row>
    <row r="59" spans="1:4" x14ac:dyDescent="0.25">
      <c r="A59">
        <v>570000</v>
      </c>
      <c r="B59" t="s">
        <v>122</v>
      </c>
      <c r="C59" t="s">
        <v>123</v>
      </c>
      <c r="D59" t="s">
        <v>111</v>
      </c>
    </row>
    <row r="60" spans="1:4" x14ac:dyDescent="0.25">
      <c r="A60">
        <v>570001</v>
      </c>
      <c r="B60" t="s">
        <v>124</v>
      </c>
      <c r="C60" t="s">
        <v>125</v>
      </c>
      <c r="D60" t="s">
        <v>111</v>
      </c>
    </row>
    <row r="61" spans="1:4" x14ac:dyDescent="0.25">
      <c r="A61">
        <v>547038</v>
      </c>
      <c r="B61" t="s">
        <v>126</v>
      </c>
      <c r="C61" t="s">
        <v>127</v>
      </c>
      <c r="D61" t="s">
        <v>111</v>
      </c>
    </row>
    <row r="62" spans="1:4" x14ac:dyDescent="0.25">
      <c r="A62">
        <v>547129</v>
      </c>
      <c r="B62" t="s">
        <v>128</v>
      </c>
      <c r="C62" t="s">
        <v>129</v>
      </c>
      <c r="D62" t="s">
        <v>111</v>
      </c>
    </row>
    <row r="63" spans="1:4" x14ac:dyDescent="0.25">
      <c r="A63">
        <v>570002</v>
      </c>
      <c r="B63" t="s">
        <v>130</v>
      </c>
      <c r="C63" t="s">
        <v>131</v>
      </c>
      <c r="D63" t="s">
        <v>111</v>
      </c>
    </row>
    <row r="64" spans="1:4" x14ac:dyDescent="0.25">
      <c r="A64">
        <v>619000</v>
      </c>
      <c r="B64" t="s">
        <v>132</v>
      </c>
      <c r="C64" t="s">
        <v>133</v>
      </c>
      <c r="D64" t="s">
        <v>111</v>
      </c>
    </row>
    <row r="65" spans="1:4" x14ac:dyDescent="0.25">
      <c r="A65">
        <v>570003</v>
      </c>
      <c r="B65" t="s">
        <v>134</v>
      </c>
      <c r="C65" t="s">
        <v>135</v>
      </c>
      <c r="D65" t="s">
        <v>111</v>
      </c>
    </row>
    <row r="66" spans="1:4" x14ac:dyDescent="0.25">
      <c r="A66">
        <v>547153</v>
      </c>
      <c r="B66" t="s">
        <v>136</v>
      </c>
      <c r="C66" t="s">
        <v>137</v>
      </c>
      <c r="D66" t="s">
        <v>111</v>
      </c>
    </row>
    <row r="67" spans="1:4" x14ac:dyDescent="0.25">
      <c r="A67">
        <v>547156</v>
      </c>
      <c r="B67" t="s">
        <v>138</v>
      </c>
      <c r="C67" t="s">
        <v>139</v>
      </c>
      <c r="D67" t="s">
        <v>111</v>
      </c>
    </row>
    <row r="68" spans="1:4" x14ac:dyDescent="0.25">
      <c r="A68">
        <v>562003</v>
      </c>
      <c r="B68" t="s">
        <v>140</v>
      </c>
      <c r="C68" t="s">
        <v>141</v>
      </c>
      <c r="D68" t="s">
        <v>142</v>
      </c>
    </row>
    <row r="69" spans="1:4" x14ac:dyDescent="0.25">
      <c r="A69">
        <v>568000</v>
      </c>
      <c r="B69" t="s">
        <v>143</v>
      </c>
      <c r="C69" t="s">
        <v>144</v>
      </c>
      <c r="D69" t="s">
        <v>142</v>
      </c>
    </row>
    <row r="70" spans="1:4" x14ac:dyDescent="0.25">
      <c r="A70">
        <v>525000</v>
      </c>
      <c r="B70" t="s">
        <v>145</v>
      </c>
      <c r="C70" t="s">
        <v>146</v>
      </c>
      <c r="D70" t="s">
        <v>142</v>
      </c>
    </row>
    <row r="71" spans="1:4" x14ac:dyDescent="0.25">
      <c r="A71">
        <v>332000</v>
      </c>
      <c r="B71" t="s">
        <v>147</v>
      </c>
      <c r="C71" t="s">
        <v>148</v>
      </c>
      <c r="D71" t="s">
        <v>142</v>
      </c>
    </row>
    <row r="72" spans="1:4" x14ac:dyDescent="0.25">
      <c r="A72">
        <v>492001</v>
      </c>
      <c r="B72" t="s">
        <v>149</v>
      </c>
      <c r="C72" t="s">
        <v>150</v>
      </c>
      <c r="D72" t="s">
        <v>142</v>
      </c>
    </row>
    <row r="73" spans="1:4" x14ac:dyDescent="0.25">
      <c r="A73">
        <v>351000</v>
      </c>
      <c r="B73" t="s">
        <v>151</v>
      </c>
      <c r="C73" t="s">
        <v>152</v>
      </c>
      <c r="D73" t="s">
        <v>142</v>
      </c>
    </row>
    <row r="74" spans="1:4" x14ac:dyDescent="0.25">
      <c r="A74">
        <v>499001</v>
      </c>
      <c r="B74" t="s">
        <v>153</v>
      </c>
      <c r="C74" t="s">
        <v>154</v>
      </c>
      <c r="D74" t="s">
        <v>142</v>
      </c>
    </row>
    <row r="75" spans="1:4" x14ac:dyDescent="0.25">
      <c r="A75">
        <v>547121</v>
      </c>
      <c r="B75" t="s">
        <v>155</v>
      </c>
      <c r="C75" t="s">
        <v>156</v>
      </c>
      <c r="D75" t="s">
        <v>142</v>
      </c>
    </row>
    <row r="76" spans="1:4" x14ac:dyDescent="0.25">
      <c r="A76">
        <v>547123</v>
      </c>
      <c r="B76" t="s">
        <v>157</v>
      </c>
      <c r="C76" t="s">
        <v>158</v>
      </c>
      <c r="D76" t="s">
        <v>142</v>
      </c>
    </row>
    <row r="77" spans="1:4" x14ac:dyDescent="0.25">
      <c r="A77">
        <v>547126</v>
      </c>
      <c r="B77" t="s">
        <v>159</v>
      </c>
      <c r="C77" t="s">
        <v>160</v>
      </c>
      <c r="D77" t="s">
        <v>142</v>
      </c>
    </row>
    <row r="78" spans="1:4" x14ac:dyDescent="0.25">
      <c r="A78">
        <v>614095</v>
      </c>
      <c r="B78" t="s">
        <v>161</v>
      </c>
      <c r="C78" t="s">
        <v>162</v>
      </c>
      <c r="D78" t="s">
        <v>142</v>
      </c>
    </row>
    <row r="79" spans="1:4" x14ac:dyDescent="0.25">
      <c r="A79">
        <v>595000</v>
      </c>
      <c r="B79" t="s">
        <v>163</v>
      </c>
      <c r="C79" t="s">
        <v>164</v>
      </c>
      <c r="D79" t="s">
        <v>165</v>
      </c>
    </row>
    <row r="80" spans="1:4" x14ac:dyDescent="0.25">
      <c r="A80">
        <v>585002</v>
      </c>
      <c r="B80" t="s">
        <v>166</v>
      </c>
      <c r="C80" t="s">
        <v>167</v>
      </c>
      <c r="D80" t="s">
        <v>165</v>
      </c>
    </row>
    <row r="81" spans="1:4" x14ac:dyDescent="0.25">
      <c r="A81">
        <v>585003</v>
      </c>
      <c r="B81" t="s">
        <v>168</v>
      </c>
      <c r="C81" t="s">
        <v>169</v>
      </c>
      <c r="D81" t="s">
        <v>165</v>
      </c>
    </row>
    <row r="82" spans="1:4" x14ac:dyDescent="0.25">
      <c r="A82">
        <v>585004</v>
      </c>
      <c r="B82" t="s">
        <v>170</v>
      </c>
      <c r="C82" t="s">
        <v>171</v>
      </c>
      <c r="D82" t="s">
        <v>165</v>
      </c>
    </row>
    <row r="83" spans="1:4" x14ac:dyDescent="0.25">
      <c r="A83">
        <v>585005</v>
      </c>
      <c r="B83" t="s">
        <v>172</v>
      </c>
      <c r="C83" t="s">
        <v>173</v>
      </c>
      <c r="D83" t="s">
        <v>165</v>
      </c>
    </row>
    <row r="84" spans="1:4" x14ac:dyDescent="0.25">
      <c r="A84">
        <v>585007</v>
      </c>
      <c r="B84" t="s">
        <v>174</v>
      </c>
      <c r="C84" t="s">
        <v>175</v>
      </c>
      <c r="D84" t="s">
        <v>165</v>
      </c>
    </row>
    <row r="85" spans="1:4" x14ac:dyDescent="0.25">
      <c r="A85">
        <v>585008</v>
      </c>
      <c r="B85" t="s">
        <v>176</v>
      </c>
      <c r="C85" t="s">
        <v>177</v>
      </c>
      <c r="D85" t="s">
        <v>165</v>
      </c>
    </row>
    <row r="86" spans="1:4" x14ac:dyDescent="0.25">
      <c r="A86">
        <v>585009</v>
      </c>
      <c r="B86" t="s">
        <v>178</v>
      </c>
      <c r="C86" t="s">
        <v>179</v>
      </c>
      <c r="D86" t="s">
        <v>165</v>
      </c>
    </row>
    <row r="87" spans="1:4" x14ac:dyDescent="0.25">
      <c r="A87">
        <v>585015</v>
      </c>
      <c r="B87" t="s">
        <v>180</v>
      </c>
      <c r="C87" t="s">
        <v>181</v>
      </c>
      <c r="D87" t="s">
        <v>165</v>
      </c>
    </row>
    <row r="88" spans="1:4" x14ac:dyDescent="0.25">
      <c r="A88">
        <v>585016</v>
      </c>
      <c r="B88" t="s">
        <v>182</v>
      </c>
      <c r="C88" t="s">
        <v>183</v>
      </c>
      <c r="D88" t="s">
        <v>165</v>
      </c>
    </row>
    <row r="89" spans="1:4" x14ac:dyDescent="0.25">
      <c r="A89">
        <v>585017</v>
      </c>
      <c r="B89" t="s">
        <v>184</v>
      </c>
      <c r="C89" t="s">
        <v>185</v>
      </c>
      <c r="D89" t="s">
        <v>165</v>
      </c>
    </row>
    <row r="90" spans="1:4" x14ac:dyDescent="0.25">
      <c r="A90">
        <v>576000</v>
      </c>
      <c r="B90" t="s">
        <v>186</v>
      </c>
      <c r="C90" t="s">
        <v>187</v>
      </c>
      <c r="D90" t="s">
        <v>165</v>
      </c>
    </row>
    <row r="91" spans="1:4" x14ac:dyDescent="0.25">
      <c r="A91">
        <v>610000</v>
      </c>
      <c r="B91" t="s">
        <v>188</v>
      </c>
      <c r="C91" t="s">
        <v>189</v>
      </c>
      <c r="D91" t="s">
        <v>165</v>
      </c>
    </row>
    <row r="92" spans="1:4" x14ac:dyDescent="0.25">
      <c r="A92">
        <v>585019</v>
      </c>
      <c r="B92" t="s">
        <v>190</v>
      </c>
      <c r="C92" t="s">
        <v>191</v>
      </c>
      <c r="D92" t="s">
        <v>165</v>
      </c>
    </row>
    <row r="93" spans="1:4" x14ac:dyDescent="0.25">
      <c r="A93">
        <v>579000</v>
      </c>
      <c r="B93" t="s">
        <v>192</v>
      </c>
      <c r="C93" t="s">
        <v>193</v>
      </c>
      <c r="D93" s="3" t="s">
        <v>194</v>
      </c>
    </row>
    <row r="94" spans="1:4" x14ac:dyDescent="0.25">
      <c r="A94">
        <v>542000</v>
      </c>
      <c r="B94" t="s">
        <v>195</v>
      </c>
      <c r="C94" t="s">
        <v>196</v>
      </c>
      <c r="D94" s="3" t="s">
        <v>194</v>
      </c>
    </row>
    <row r="95" spans="1:4" x14ac:dyDescent="0.25">
      <c r="A95">
        <v>542001</v>
      </c>
      <c r="B95" t="s">
        <v>197</v>
      </c>
      <c r="C95" t="s">
        <v>198</v>
      </c>
      <c r="D95" s="3" t="s">
        <v>194</v>
      </c>
    </row>
    <row r="96" spans="1:4" x14ac:dyDescent="0.25">
      <c r="A96">
        <v>515000</v>
      </c>
      <c r="B96" t="s">
        <v>199</v>
      </c>
      <c r="C96" t="s">
        <v>200</v>
      </c>
      <c r="D96" s="3" t="s">
        <v>194</v>
      </c>
    </row>
    <row r="97" spans="1:4" x14ac:dyDescent="0.25">
      <c r="A97">
        <v>580000</v>
      </c>
      <c r="B97" t="s">
        <v>201</v>
      </c>
      <c r="C97" t="s">
        <v>202</v>
      </c>
      <c r="D97" s="3" t="s">
        <v>194</v>
      </c>
    </row>
    <row r="98" spans="1:4" x14ac:dyDescent="0.25">
      <c r="A98">
        <v>538000</v>
      </c>
      <c r="B98" t="s">
        <v>203</v>
      </c>
      <c r="C98" t="s">
        <v>204</v>
      </c>
      <c r="D98" s="3" t="s">
        <v>194</v>
      </c>
    </row>
    <row r="99" spans="1:4" x14ac:dyDescent="0.25">
      <c r="A99">
        <v>564000</v>
      </c>
      <c r="B99" t="s">
        <v>205</v>
      </c>
      <c r="C99" t="s">
        <v>206</v>
      </c>
      <c r="D99" s="3" t="s">
        <v>194</v>
      </c>
    </row>
    <row r="100" spans="1:4" x14ac:dyDescent="0.25">
      <c r="A100">
        <v>513000</v>
      </c>
      <c r="B100" t="s">
        <v>207</v>
      </c>
      <c r="C100" t="s">
        <v>208</v>
      </c>
      <c r="D100" s="3" t="s">
        <v>194</v>
      </c>
    </row>
    <row r="101" spans="1:4" x14ac:dyDescent="0.25">
      <c r="A101">
        <v>539000</v>
      </c>
      <c r="B101" t="s">
        <v>209</v>
      </c>
      <c r="C101" t="s">
        <v>210</v>
      </c>
      <c r="D101" s="3" t="s">
        <v>194</v>
      </c>
    </row>
    <row r="102" spans="1:4" x14ac:dyDescent="0.25">
      <c r="A102">
        <v>467000</v>
      </c>
      <c r="B102" t="s">
        <v>211</v>
      </c>
      <c r="C102" t="s">
        <v>212</v>
      </c>
      <c r="D102" s="3" t="s">
        <v>194</v>
      </c>
    </row>
    <row r="103" spans="1:4" x14ac:dyDescent="0.25">
      <c r="A103">
        <v>509000</v>
      </c>
      <c r="B103" t="s">
        <v>213</v>
      </c>
      <c r="C103" t="s">
        <v>214</v>
      </c>
      <c r="D103" s="3" t="s">
        <v>194</v>
      </c>
    </row>
    <row r="104" spans="1:4" x14ac:dyDescent="0.25">
      <c r="A104">
        <v>531001</v>
      </c>
      <c r="B104" t="s">
        <v>215</v>
      </c>
      <c r="C104" t="s">
        <v>216</v>
      </c>
      <c r="D104" s="3" t="s">
        <v>194</v>
      </c>
    </row>
    <row r="105" spans="1:4" x14ac:dyDescent="0.25">
      <c r="A105">
        <v>548000</v>
      </c>
      <c r="B105" t="s">
        <v>217</v>
      </c>
      <c r="C105" t="s">
        <v>218</v>
      </c>
      <c r="D105" s="3" t="s">
        <v>194</v>
      </c>
    </row>
    <row r="106" spans="1:4" x14ac:dyDescent="0.25">
      <c r="A106">
        <v>607000</v>
      </c>
      <c r="B106" t="s">
        <v>219</v>
      </c>
      <c r="C106" t="s">
        <v>220</v>
      </c>
      <c r="D106" s="3" t="s">
        <v>194</v>
      </c>
    </row>
    <row r="107" spans="1:4" x14ac:dyDescent="0.25">
      <c r="A107">
        <v>614077</v>
      </c>
      <c r="B107" t="s">
        <v>221</v>
      </c>
      <c r="C107" t="s">
        <v>222</v>
      </c>
      <c r="D107" s="3" t="s">
        <v>194</v>
      </c>
    </row>
  </sheetData>
  <conditionalFormatting sqref="A2:A10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54998-6BDF-4014-BF17-38B03456F1B9}">
  <dimension ref="A1:S117"/>
  <sheetViews>
    <sheetView tabSelected="1" workbookViewId="0">
      <selection activeCell="Q12" sqref="Q12"/>
    </sheetView>
  </sheetViews>
  <sheetFormatPr baseColWidth="10" defaultColWidth="11.42578125" defaultRowHeight="15" x14ac:dyDescent="0.25"/>
  <cols>
    <col min="1" max="1" width="18.85546875" style="4" bestFit="1" customWidth="1"/>
    <col min="2" max="2" width="15.28515625" style="4" bestFit="1" customWidth="1"/>
    <col min="3" max="3" width="8.28515625" style="4" customWidth="1"/>
    <col min="4" max="4" width="20.7109375" style="5" bestFit="1" customWidth="1"/>
    <col min="5" max="5" width="16.42578125" style="4" customWidth="1"/>
    <col min="6" max="6" width="23.5703125" style="4" customWidth="1"/>
    <col min="7" max="7" width="34.140625" style="4" customWidth="1"/>
    <col min="8" max="8" width="34.7109375" style="4" customWidth="1"/>
    <col min="9" max="10" width="20.42578125" style="4" customWidth="1"/>
    <col min="11" max="11" width="16" style="4" bestFit="1" customWidth="1"/>
    <col min="12" max="15" width="13.85546875" style="4" customWidth="1"/>
    <col min="16" max="16" width="18.140625" style="4" bestFit="1" customWidth="1"/>
    <col min="17" max="17" width="13.7109375" style="4" bestFit="1" customWidth="1"/>
    <col min="18" max="16384" width="11.42578125" style="4"/>
  </cols>
  <sheetData>
    <row r="1" spans="1:18" customFormat="1" ht="15.75" thickBot="1" x14ac:dyDescent="0.3">
      <c r="A1" s="6" t="s">
        <v>223</v>
      </c>
      <c r="B1" s="7" t="s">
        <v>224</v>
      </c>
      <c r="C1" s="7" t="s">
        <v>225</v>
      </c>
      <c r="D1" s="8" t="s">
        <v>226</v>
      </c>
      <c r="E1" s="9" t="s">
        <v>227</v>
      </c>
      <c r="F1" s="9" t="s">
        <v>228</v>
      </c>
      <c r="G1" s="10" t="s">
        <v>229</v>
      </c>
      <c r="H1" s="10" t="s">
        <v>230</v>
      </c>
      <c r="I1" s="10" t="s">
        <v>231</v>
      </c>
      <c r="J1" s="10" t="s">
        <v>232</v>
      </c>
      <c r="K1" s="10" t="s">
        <v>233</v>
      </c>
      <c r="L1" s="11" t="s">
        <v>234</v>
      </c>
      <c r="M1" s="11" t="s">
        <v>235</v>
      </c>
      <c r="N1" s="11" t="s">
        <v>236</v>
      </c>
      <c r="O1" s="10" t="s">
        <v>237</v>
      </c>
      <c r="P1" s="12" t="s">
        <v>238</v>
      </c>
      <c r="Q1" s="13" t="s">
        <v>239</v>
      </c>
    </row>
    <row r="2" spans="1:18" customFormat="1" ht="15" customHeight="1" x14ac:dyDescent="0.25">
      <c r="A2" s="14" t="s">
        <v>365</v>
      </c>
      <c r="B2" s="15" t="s">
        <v>240</v>
      </c>
      <c r="C2" s="16" t="s">
        <v>241</v>
      </c>
      <c r="D2" s="17" t="s">
        <v>242</v>
      </c>
      <c r="E2" s="18" t="s">
        <v>243</v>
      </c>
      <c r="F2" s="19">
        <v>547071</v>
      </c>
      <c r="G2" s="20" t="s">
        <v>88</v>
      </c>
      <c r="H2" s="20" t="s">
        <v>244</v>
      </c>
      <c r="I2" s="21" t="s">
        <v>245</v>
      </c>
      <c r="J2" s="21">
        <v>1</v>
      </c>
      <c r="K2" s="22" t="s">
        <v>246</v>
      </c>
      <c r="L2" s="23">
        <v>395</v>
      </c>
      <c r="M2" s="23">
        <v>35.39</v>
      </c>
      <c r="N2" s="23">
        <v>17.25</v>
      </c>
      <c r="O2" s="24">
        <v>46078</v>
      </c>
      <c r="P2" s="25">
        <v>31.6</v>
      </c>
      <c r="Q2" t="s">
        <v>365</v>
      </c>
      <c r="R2" s="26"/>
    </row>
    <row r="3" spans="1:18" customFormat="1" ht="15" customHeight="1" x14ac:dyDescent="0.25">
      <c r="A3" s="27"/>
      <c r="B3" s="28"/>
      <c r="C3" s="29"/>
      <c r="D3" s="30">
        <v>0</v>
      </c>
      <c r="E3" s="31" t="s">
        <v>243</v>
      </c>
      <c r="F3" s="32">
        <v>420000</v>
      </c>
      <c r="G3" s="33" t="s">
        <v>91</v>
      </c>
      <c r="H3" s="34" t="s">
        <v>244</v>
      </c>
      <c r="I3" s="35" t="s">
        <v>245</v>
      </c>
      <c r="J3" s="35">
        <v>1</v>
      </c>
      <c r="K3" s="36" t="s">
        <v>247</v>
      </c>
      <c r="L3" s="37">
        <v>620</v>
      </c>
      <c r="M3" s="37">
        <v>35.39</v>
      </c>
      <c r="N3" s="37">
        <v>17.25</v>
      </c>
      <c r="O3" s="38">
        <v>46078</v>
      </c>
      <c r="P3" s="25">
        <v>31.6</v>
      </c>
      <c r="Q3" t="s">
        <v>365</v>
      </c>
      <c r="R3" s="26"/>
    </row>
    <row r="4" spans="1:18" customFormat="1" ht="15" customHeight="1" x14ac:dyDescent="0.25">
      <c r="A4" s="27"/>
      <c r="B4" s="28"/>
      <c r="C4" s="29"/>
      <c r="D4" s="30" t="s">
        <v>242</v>
      </c>
      <c r="E4" s="31" t="s">
        <v>243</v>
      </c>
      <c r="F4" s="32">
        <v>318000</v>
      </c>
      <c r="G4" s="33" t="s">
        <v>248</v>
      </c>
      <c r="H4" s="34" t="s">
        <v>249</v>
      </c>
      <c r="I4" s="35" t="s">
        <v>245</v>
      </c>
      <c r="J4" s="35">
        <v>1</v>
      </c>
      <c r="K4" s="36" t="s">
        <v>246</v>
      </c>
      <c r="L4" s="37">
        <v>395</v>
      </c>
      <c r="M4" s="37">
        <v>35.39</v>
      </c>
      <c r="N4" s="37">
        <v>17.25</v>
      </c>
      <c r="O4" s="38">
        <v>46078</v>
      </c>
      <c r="P4" s="25">
        <v>31.6</v>
      </c>
      <c r="Q4" t="s">
        <v>365</v>
      </c>
    </row>
    <row r="5" spans="1:18" customFormat="1" ht="15" customHeight="1" x14ac:dyDescent="0.25">
      <c r="A5" s="27"/>
      <c r="B5" s="28"/>
      <c r="C5" s="29"/>
      <c r="D5" s="30">
        <v>0</v>
      </c>
      <c r="E5" s="31" t="s">
        <v>243</v>
      </c>
      <c r="F5" s="32">
        <v>561000</v>
      </c>
      <c r="G5" s="33" t="s">
        <v>95</v>
      </c>
      <c r="H5" s="34" t="s">
        <v>250</v>
      </c>
      <c r="I5" s="35" t="s">
        <v>245</v>
      </c>
      <c r="J5" s="35">
        <v>1</v>
      </c>
      <c r="K5" s="39" t="s">
        <v>247</v>
      </c>
      <c r="L5" s="40">
        <v>620</v>
      </c>
      <c r="M5" s="40">
        <v>35.39</v>
      </c>
      <c r="N5" s="37">
        <v>17.25</v>
      </c>
      <c r="O5" s="41">
        <v>46078</v>
      </c>
      <c r="P5" s="25">
        <v>31.6</v>
      </c>
      <c r="Q5" t="s">
        <v>365</v>
      </c>
    </row>
    <row r="6" spans="1:18" customFormat="1" ht="24" customHeight="1" x14ac:dyDescent="0.25">
      <c r="A6" s="27"/>
      <c r="B6" s="28"/>
      <c r="C6" s="29"/>
      <c r="D6" s="30" t="s">
        <v>251</v>
      </c>
      <c r="E6" s="31" t="s">
        <v>243</v>
      </c>
      <c r="F6" s="32">
        <v>573000</v>
      </c>
      <c r="G6" s="33" t="s">
        <v>97</v>
      </c>
      <c r="H6" s="34" t="s">
        <v>252</v>
      </c>
      <c r="I6" s="35" t="s">
        <v>245</v>
      </c>
      <c r="J6" s="35">
        <v>1</v>
      </c>
      <c r="K6" s="42" t="s">
        <v>246</v>
      </c>
      <c r="L6" s="43">
        <v>395</v>
      </c>
      <c r="M6" s="43">
        <v>35.39</v>
      </c>
      <c r="N6" s="37">
        <v>17.25</v>
      </c>
      <c r="O6" s="38">
        <v>46078</v>
      </c>
      <c r="P6" s="25">
        <v>31.6</v>
      </c>
      <c r="Q6" t="s">
        <v>365</v>
      </c>
    </row>
    <row r="7" spans="1:18" customFormat="1" ht="18.75" x14ac:dyDescent="0.25">
      <c r="A7" s="27"/>
      <c r="B7" s="28"/>
      <c r="C7" s="29"/>
      <c r="D7" s="30" t="s">
        <v>251</v>
      </c>
      <c r="E7" s="31" t="s">
        <v>243</v>
      </c>
      <c r="F7" s="32">
        <v>547029</v>
      </c>
      <c r="G7" s="33" t="s">
        <v>99</v>
      </c>
      <c r="H7" s="34" t="s">
        <v>253</v>
      </c>
      <c r="I7" s="35" t="s">
        <v>245</v>
      </c>
      <c r="J7" s="35">
        <v>1</v>
      </c>
      <c r="K7" s="42" t="s">
        <v>247</v>
      </c>
      <c r="L7" s="43">
        <v>620</v>
      </c>
      <c r="M7" s="43">
        <v>38.08</v>
      </c>
      <c r="N7" s="37">
        <v>17.25</v>
      </c>
      <c r="O7" s="38">
        <v>46078</v>
      </c>
      <c r="P7" s="25">
        <v>34</v>
      </c>
      <c r="Q7" t="s">
        <v>365</v>
      </c>
    </row>
    <row r="8" spans="1:18" customFormat="1" ht="15" customHeight="1" x14ac:dyDescent="0.25">
      <c r="A8" s="27"/>
      <c r="B8" s="28"/>
      <c r="C8" s="29"/>
      <c r="D8" s="30">
        <v>0</v>
      </c>
      <c r="E8" s="31" t="s">
        <v>243</v>
      </c>
      <c r="F8" s="32">
        <v>591000</v>
      </c>
      <c r="G8" s="33" t="s">
        <v>101</v>
      </c>
      <c r="H8" s="34" t="s">
        <v>254</v>
      </c>
      <c r="I8" s="35" t="s">
        <v>245</v>
      </c>
      <c r="J8" s="35">
        <v>1</v>
      </c>
      <c r="K8" s="42" t="s">
        <v>246</v>
      </c>
      <c r="L8" s="43">
        <v>395</v>
      </c>
      <c r="M8" s="43">
        <v>35.39</v>
      </c>
      <c r="N8" s="37">
        <v>17.25</v>
      </c>
      <c r="O8" s="38">
        <v>46078</v>
      </c>
      <c r="P8" s="25">
        <v>31.6</v>
      </c>
      <c r="Q8" t="s">
        <v>365</v>
      </c>
    </row>
    <row r="9" spans="1:18" customFormat="1" ht="15" customHeight="1" x14ac:dyDescent="0.25">
      <c r="A9" s="27"/>
      <c r="B9" s="28"/>
      <c r="C9" s="29"/>
      <c r="D9" s="30">
        <v>0</v>
      </c>
      <c r="E9" s="31">
        <v>0</v>
      </c>
      <c r="F9" s="44">
        <v>318001</v>
      </c>
      <c r="G9" s="45" t="s">
        <v>103</v>
      </c>
      <c r="H9" s="46"/>
      <c r="I9" s="35"/>
      <c r="J9" s="35"/>
      <c r="K9" s="42"/>
      <c r="L9" s="43"/>
      <c r="M9" s="43">
        <v>35.39</v>
      </c>
      <c r="N9" s="37">
        <v>17.25</v>
      </c>
      <c r="O9" s="38"/>
      <c r="P9" s="25"/>
      <c r="Q9" t="s">
        <v>365</v>
      </c>
    </row>
    <row r="10" spans="1:18" customFormat="1" ht="15" customHeight="1" x14ac:dyDescent="0.25">
      <c r="A10" s="27"/>
      <c r="B10" s="47"/>
      <c r="C10" s="29"/>
      <c r="D10" s="30"/>
      <c r="E10" s="31"/>
      <c r="F10" s="48">
        <v>547117</v>
      </c>
      <c r="G10" s="49" t="s">
        <v>105</v>
      </c>
      <c r="H10" s="50" t="s">
        <v>255</v>
      </c>
      <c r="I10" s="35" t="s">
        <v>245</v>
      </c>
      <c r="J10" s="35">
        <v>1</v>
      </c>
      <c r="K10" s="51" t="s">
        <v>247</v>
      </c>
      <c r="L10" s="52">
        <v>620</v>
      </c>
      <c r="M10" s="52">
        <v>38.08</v>
      </c>
      <c r="N10" s="37">
        <v>17.25</v>
      </c>
      <c r="O10" s="38">
        <v>46078</v>
      </c>
      <c r="P10" s="25">
        <v>34</v>
      </c>
      <c r="Q10" t="s">
        <v>365</v>
      </c>
    </row>
    <row r="11" spans="1:18" customFormat="1" ht="15.75" customHeight="1" thickBot="1" x14ac:dyDescent="0.3">
      <c r="A11" s="27"/>
      <c r="B11" s="53"/>
      <c r="C11" s="29"/>
      <c r="D11" s="30">
        <v>0</v>
      </c>
      <c r="E11" s="31">
        <v>0</v>
      </c>
      <c r="F11" s="54">
        <v>547130</v>
      </c>
      <c r="G11" s="55" t="s">
        <v>107</v>
      </c>
      <c r="H11" s="56" t="s">
        <v>256</v>
      </c>
      <c r="I11" s="57" t="s">
        <v>245</v>
      </c>
      <c r="J11" s="57">
        <v>1</v>
      </c>
      <c r="K11" s="58" t="s">
        <v>247</v>
      </c>
      <c r="L11" s="59">
        <v>620</v>
      </c>
      <c r="M11" s="59">
        <v>34.83</v>
      </c>
      <c r="N11" s="60">
        <v>17.25</v>
      </c>
      <c r="O11" s="61">
        <v>46078</v>
      </c>
      <c r="P11" s="25">
        <v>31.1</v>
      </c>
      <c r="Q11" t="s">
        <v>365</v>
      </c>
    </row>
    <row r="12" spans="1:18" customFormat="1" ht="15.75" customHeight="1" thickBot="1" x14ac:dyDescent="0.3">
      <c r="A12" s="27"/>
      <c r="B12" s="62"/>
      <c r="C12" s="29"/>
      <c r="D12" s="63"/>
      <c r="E12" s="64"/>
      <c r="F12" s="65"/>
      <c r="G12" s="66"/>
      <c r="H12" s="66"/>
      <c r="I12" s="67"/>
      <c r="J12" s="67"/>
      <c r="K12" s="68" t="s">
        <v>257</v>
      </c>
      <c r="L12" s="69"/>
      <c r="M12" s="69">
        <f>AVERAGE(M2:M11)</f>
        <v>35.871999999999993</v>
      </c>
      <c r="N12" s="70"/>
      <c r="O12" s="71"/>
      <c r="P12" s="72">
        <f>AVERAGE(P2:P11)</f>
        <v>32.077777777777783</v>
      </c>
    </row>
    <row r="13" spans="1:18" customFormat="1" ht="27" customHeight="1" x14ac:dyDescent="0.25">
      <c r="A13" s="27"/>
      <c r="B13" s="15" t="s">
        <v>258</v>
      </c>
      <c r="C13" s="29"/>
      <c r="D13" s="30" t="s">
        <v>251</v>
      </c>
      <c r="E13" s="31" t="s">
        <v>243</v>
      </c>
      <c r="F13" s="73">
        <v>562004</v>
      </c>
      <c r="G13" s="74" t="s">
        <v>109</v>
      </c>
      <c r="H13" s="75" t="s">
        <v>259</v>
      </c>
      <c r="I13" s="76" t="s">
        <v>245</v>
      </c>
      <c r="J13" s="76">
        <v>1</v>
      </c>
      <c r="K13" s="77" t="s">
        <v>260</v>
      </c>
      <c r="L13" s="37">
        <v>460.8</v>
      </c>
      <c r="M13" s="37">
        <v>20.95</v>
      </c>
      <c r="N13" s="23">
        <v>17.25</v>
      </c>
      <c r="O13" s="38">
        <v>46078</v>
      </c>
      <c r="P13" s="78">
        <v>31.03</v>
      </c>
      <c r="Q13" t="s">
        <v>365</v>
      </c>
    </row>
    <row r="14" spans="1:18" customFormat="1" ht="15" customHeight="1" x14ac:dyDescent="0.25">
      <c r="A14" s="27"/>
      <c r="B14" s="28"/>
      <c r="C14" s="29"/>
      <c r="D14" s="30">
        <v>0</v>
      </c>
      <c r="E14" s="31">
        <v>0</v>
      </c>
      <c r="F14" s="73">
        <v>530000</v>
      </c>
      <c r="G14" s="33" t="s">
        <v>112</v>
      </c>
      <c r="H14" s="34" t="s">
        <v>261</v>
      </c>
      <c r="I14" s="79" t="s">
        <v>245</v>
      </c>
      <c r="J14" s="79">
        <v>1</v>
      </c>
      <c r="K14" s="80" t="s">
        <v>246</v>
      </c>
      <c r="L14" s="37">
        <v>395</v>
      </c>
      <c r="M14" s="37">
        <v>34.75</v>
      </c>
      <c r="N14" s="37">
        <v>17.25</v>
      </c>
      <c r="O14" s="38">
        <v>46078</v>
      </c>
      <c r="P14" s="78">
        <v>31.03</v>
      </c>
      <c r="Q14" t="s">
        <v>365</v>
      </c>
    </row>
    <row r="15" spans="1:18" customFormat="1" ht="18.75" x14ac:dyDescent="0.25">
      <c r="A15" s="27"/>
      <c r="B15" s="28"/>
      <c r="C15" s="29"/>
      <c r="D15" s="30" t="s">
        <v>251</v>
      </c>
      <c r="E15" s="31" t="s">
        <v>243</v>
      </c>
      <c r="F15" s="32">
        <v>569000</v>
      </c>
      <c r="G15" s="33" t="s">
        <v>114</v>
      </c>
      <c r="H15" s="34" t="s">
        <v>262</v>
      </c>
      <c r="I15" s="79" t="s">
        <v>245</v>
      </c>
      <c r="J15" s="79">
        <v>1</v>
      </c>
      <c r="K15" s="80" t="s">
        <v>260</v>
      </c>
      <c r="L15" s="37">
        <v>460.8</v>
      </c>
      <c r="M15" s="37">
        <v>33.619999999999997</v>
      </c>
      <c r="N15" s="37">
        <v>17.25</v>
      </c>
      <c r="O15" s="38">
        <v>46078</v>
      </c>
      <c r="P15" s="78">
        <v>30.02</v>
      </c>
      <c r="Q15" t="s">
        <v>365</v>
      </c>
    </row>
    <row r="16" spans="1:18" customFormat="1" ht="15" customHeight="1" x14ac:dyDescent="0.25">
      <c r="A16" s="27"/>
      <c r="B16" s="28"/>
      <c r="C16" s="29"/>
      <c r="D16" s="30">
        <v>0</v>
      </c>
      <c r="E16" s="31" t="s">
        <v>243</v>
      </c>
      <c r="F16" s="32">
        <v>574000</v>
      </c>
      <c r="G16" s="33" t="s">
        <v>116</v>
      </c>
      <c r="H16" s="34" t="s">
        <v>261</v>
      </c>
      <c r="I16" s="79" t="s">
        <v>245</v>
      </c>
      <c r="J16" s="79">
        <v>1</v>
      </c>
      <c r="K16" s="80" t="s">
        <v>246</v>
      </c>
      <c r="L16" s="37">
        <v>395</v>
      </c>
      <c r="M16" s="37">
        <v>34.75</v>
      </c>
      <c r="N16" s="37">
        <v>17.25</v>
      </c>
      <c r="O16" s="38">
        <v>46078</v>
      </c>
      <c r="P16" s="78">
        <v>31.03</v>
      </c>
      <c r="Q16" t="s">
        <v>365</v>
      </c>
    </row>
    <row r="17" spans="1:17" customFormat="1" ht="15" customHeight="1" x14ac:dyDescent="0.25">
      <c r="A17" s="27"/>
      <c r="B17" s="28"/>
      <c r="C17" s="29"/>
      <c r="D17" s="30" t="s">
        <v>263</v>
      </c>
      <c r="E17" s="31" t="s">
        <v>243</v>
      </c>
      <c r="F17" s="32">
        <v>481000</v>
      </c>
      <c r="G17" s="33" t="s">
        <v>118</v>
      </c>
      <c r="H17" s="34" t="s">
        <v>264</v>
      </c>
      <c r="I17" s="79" t="s">
        <v>245</v>
      </c>
      <c r="J17" s="79">
        <v>1</v>
      </c>
      <c r="K17" s="80" t="s">
        <v>260</v>
      </c>
      <c r="L17" s="37">
        <v>460.8</v>
      </c>
      <c r="M17" s="37">
        <v>30.91</v>
      </c>
      <c r="N17" s="37">
        <v>17.25</v>
      </c>
      <c r="O17" s="38">
        <v>46078</v>
      </c>
      <c r="P17" s="78">
        <v>27.6</v>
      </c>
      <c r="Q17" t="s">
        <v>365</v>
      </c>
    </row>
    <row r="18" spans="1:17" customFormat="1" ht="15" customHeight="1" x14ac:dyDescent="0.25">
      <c r="A18" s="27"/>
      <c r="B18" s="28"/>
      <c r="C18" s="29"/>
      <c r="D18" s="30" t="s">
        <v>263</v>
      </c>
      <c r="E18" s="31" t="s">
        <v>243</v>
      </c>
      <c r="F18" s="32">
        <v>594000</v>
      </c>
      <c r="G18" s="33" t="s">
        <v>120</v>
      </c>
      <c r="H18" s="34" t="s">
        <v>265</v>
      </c>
      <c r="I18" s="79" t="s">
        <v>245</v>
      </c>
      <c r="J18" s="79">
        <v>1</v>
      </c>
      <c r="K18" s="80" t="s">
        <v>260</v>
      </c>
      <c r="L18" s="40">
        <v>460.8</v>
      </c>
      <c r="M18" s="40">
        <v>35.39</v>
      </c>
      <c r="N18" s="37">
        <v>17.25</v>
      </c>
      <c r="O18" s="41">
        <v>46078</v>
      </c>
      <c r="P18" s="78">
        <v>31.6</v>
      </c>
      <c r="Q18" t="s">
        <v>365</v>
      </c>
    </row>
    <row r="19" spans="1:17" customFormat="1" ht="15" customHeight="1" x14ac:dyDescent="0.25">
      <c r="A19" s="27"/>
      <c r="B19" s="28"/>
      <c r="C19" s="29"/>
      <c r="D19" s="30">
        <v>0</v>
      </c>
      <c r="E19" s="31" t="s">
        <v>243</v>
      </c>
      <c r="F19" s="32">
        <v>570000</v>
      </c>
      <c r="G19" s="33" t="s">
        <v>122</v>
      </c>
      <c r="H19" s="34" t="s">
        <v>266</v>
      </c>
      <c r="I19" s="79" t="s">
        <v>245</v>
      </c>
      <c r="J19" s="79">
        <v>1</v>
      </c>
      <c r="K19" s="80" t="s">
        <v>246</v>
      </c>
      <c r="L19" s="52">
        <v>395</v>
      </c>
      <c r="M19" s="52">
        <v>34.75</v>
      </c>
      <c r="N19" s="37">
        <v>17.25</v>
      </c>
      <c r="O19" s="38">
        <v>46078</v>
      </c>
      <c r="P19" s="78">
        <v>31.03</v>
      </c>
      <c r="Q19" t="s">
        <v>365</v>
      </c>
    </row>
    <row r="20" spans="1:17" customFormat="1" ht="18.75" x14ac:dyDescent="0.25">
      <c r="A20" s="27"/>
      <c r="B20" s="28"/>
      <c r="C20" s="29"/>
      <c r="D20" s="30" t="s">
        <v>251</v>
      </c>
      <c r="E20" s="31" t="s">
        <v>243</v>
      </c>
      <c r="F20" s="32">
        <v>570001</v>
      </c>
      <c r="G20" s="33" t="s">
        <v>124</v>
      </c>
      <c r="H20" s="34" t="s">
        <v>267</v>
      </c>
      <c r="I20" s="79" t="s">
        <v>245</v>
      </c>
      <c r="J20" s="79">
        <v>1</v>
      </c>
      <c r="K20" s="80" t="s">
        <v>246</v>
      </c>
      <c r="L20" s="37">
        <v>395</v>
      </c>
      <c r="M20" s="37">
        <v>17.95</v>
      </c>
      <c r="N20" s="37">
        <v>17.25</v>
      </c>
      <c r="O20" s="38">
        <v>46078</v>
      </c>
      <c r="P20" s="78">
        <v>31.03</v>
      </c>
      <c r="Q20" t="s">
        <v>365</v>
      </c>
    </row>
    <row r="21" spans="1:17" customFormat="1" ht="18.75" x14ac:dyDescent="0.25">
      <c r="A21" s="27"/>
      <c r="B21" s="28"/>
      <c r="C21" s="29"/>
      <c r="D21" s="30"/>
      <c r="E21" s="31"/>
      <c r="F21" s="32">
        <v>547038</v>
      </c>
      <c r="G21" s="33" t="s">
        <v>126</v>
      </c>
      <c r="H21" s="34" t="s">
        <v>268</v>
      </c>
      <c r="I21" s="79" t="s">
        <v>245</v>
      </c>
      <c r="J21" s="79">
        <v>1</v>
      </c>
      <c r="K21" s="80" t="s">
        <v>260</v>
      </c>
      <c r="L21" s="37">
        <v>460.8</v>
      </c>
      <c r="M21" s="37">
        <v>35.39</v>
      </c>
      <c r="N21" s="37">
        <v>17.25</v>
      </c>
      <c r="O21" s="38">
        <v>46078</v>
      </c>
      <c r="P21" s="78">
        <v>31.6</v>
      </c>
      <c r="Q21" t="s">
        <v>365</v>
      </c>
    </row>
    <row r="22" spans="1:17" customFormat="1" ht="18.75" x14ac:dyDescent="0.25">
      <c r="A22" s="27"/>
      <c r="B22" s="28"/>
      <c r="C22" s="29"/>
      <c r="D22" s="30"/>
      <c r="E22" s="31"/>
      <c r="F22" s="32">
        <v>547129</v>
      </c>
      <c r="G22" s="33" t="s">
        <v>128</v>
      </c>
      <c r="H22" s="34" t="s">
        <v>269</v>
      </c>
      <c r="I22" s="79" t="s">
        <v>245</v>
      </c>
      <c r="J22" s="79">
        <v>1</v>
      </c>
      <c r="K22" s="80" t="s">
        <v>260</v>
      </c>
      <c r="L22" s="37">
        <v>460.8</v>
      </c>
      <c r="M22" s="37">
        <v>35.840000000000003</v>
      </c>
      <c r="N22" s="37">
        <v>17.25</v>
      </c>
      <c r="O22" s="38">
        <v>46078</v>
      </c>
      <c r="P22" s="78">
        <v>32</v>
      </c>
      <c r="Q22" t="s">
        <v>365</v>
      </c>
    </row>
    <row r="23" spans="1:17" customFormat="1" ht="18.75" x14ac:dyDescent="0.25">
      <c r="A23" s="27"/>
      <c r="B23" s="28"/>
      <c r="C23" s="29"/>
      <c r="D23" s="30"/>
      <c r="E23" s="31"/>
      <c r="F23" s="32">
        <v>570002</v>
      </c>
      <c r="G23" s="33" t="s">
        <v>270</v>
      </c>
      <c r="H23" s="34"/>
      <c r="I23" s="79"/>
      <c r="J23" s="79"/>
      <c r="K23" s="80"/>
      <c r="L23" s="37"/>
      <c r="M23" s="37">
        <v>34.75</v>
      </c>
      <c r="N23" s="37">
        <v>17.25</v>
      </c>
      <c r="O23" s="38"/>
      <c r="P23" s="78"/>
      <c r="Q23" t="s">
        <v>365</v>
      </c>
    </row>
    <row r="24" spans="1:17" customFormat="1" ht="18.75" x14ac:dyDescent="0.25">
      <c r="A24" s="27"/>
      <c r="B24" s="28"/>
      <c r="C24" s="29"/>
      <c r="D24" s="30" t="s">
        <v>251</v>
      </c>
      <c r="E24" s="31" t="s">
        <v>243</v>
      </c>
      <c r="F24" s="32">
        <v>619000</v>
      </c>
      <c r="G24" s="33" t="s">
        <v>132</v>
      </c>
      <c r="H24" s="34" t="s">
        <v>267</v>
      </c>
      <c r="I24" s="79" t="s">
        <v>245</v>
      </c>
      <c r="J24" s="79">
        <v>1</v>
      </c>
      <c r="K24" s="80" t="s">
        <v>246</v>
      </c>
      <c r="L24" s="37">
        <v>395</v>
      </c>
      <c r="M24" s="37">
        <v>34.75</v>
      </c>
      <c r="N24" s="37">
        <v>17.25</v>
      </c>
      <c r="O24" s="38">
        <v>46078</v>
      </c>
      <c r="P24" s="78">
        <v>31.03</v>
      </c>
      <c r="Q24" t="s">
        <v>365</v>
      </c>
    </row>
    <row r="25" spans="1:17" customFormat="1" ht="18.75" x14ac:dyDescent="0.25">
      <c r="A25" s="27"/>
      <c r="B25" s="28"/>
      <c r="C25" s="29"/>
      <c r="D25" s="30" t="s">
        <v>251</v>
      </c>
      <c r="E25" s="31" t="s">
        <v>243</v>
      </c>
      <c r="F25" s="32">
        <v>570003</v>
      </c>
      <c r="G25" s="33" t="s">
        <v>134</v>
      </c>
      <c r="H25" s="34"/>
      <c r="I25" s="79"/>
      <c r="J25" s="79"/>
      <c r="K25" s="80"/>
      <c r="L25" s="37"/>
      <c r="M25" s="37">
        <v>34.75</v>
      </c>
      <c r="N25" s="37">
        <v>17.25</v>
      </c>
      <c r="O25" s="38"/>
      <c r="P25" s="78"/>
      <c r="Q25" t="s">
        <v>365</v>
      </c>
    </row>
    <row r="26" spans="1:17" customFormat="1" ht="19.5" thickBot="1" x14ac:dyDescent="0.3">
      <c r="A26" s="27"/>
      <c r="B26" s="53"/>
      <c r="C26" s="29"/>
      <c r="D26" s="30" t="s">
        <v>251</v>
      </c>
      <c r="E26" s="31" t="s">
        <v>243</v>
      </c>
      <c r="F26" s="81">
        <v>547153</v>
      </c>
      <c r="G26" s="82" t="s">
        <v>136</v>
      </c>
      <c r="H26" s="83"/>
      <c r="I26" s="84"/>
      <c r="J26" s="84"/>
      <c r="K26" s="85"/>
      <c r="L26" s="37"/>
      <c r="M26" s="37">
        <v>35.39</v>
      </c>
      <c r="N26" s="60">
        <v>17.25</v>
      </c>
      <c r="O26" s="38"/>
      <c r="P26" s="78"/>
      <c r="Q26" t="s">
        <v>365</v>
      </c>
    </row>
    <row r="27" spans="1:17" customFormat="1" ht="15.75" customHeight="1" thickBot="1" x14ac:dyDescent="0.3">
      <c r="A27" s="27"/>
      <c r="B27" s="62"/>
      <c r="C27" s="29"/>
      <c r="D27" s="63"/>
      <c r="E27" s="64"/>
      <c r="F27" s="86">
        <v>547156</v>
      </c>
      <c r="G27" s="87" t="s">
        <v>138</v>
      </c>
      <c r="H27" s="87"/>
      <c r="I27" s="67"/>
      <c r="J27" s="67"/>
      <c r="K27" s="68"/>
      <c r="L27" s="88"/>
      <c r="M27" s="69">
        <v>34.75</v>
      </c>
      <c r="N27" s="89">
        <v>17.25</v>
      </c>
      <c r="O27" s="90"/>
      <c r="P27" s="72"/>
    </row>
    <row r="28" spans="1:17" customFormat="1" ht="15" customHeight="1" x14ac:dyDescent="0.25">
      <c r="A28" s="27"/>
      <c r="B28" s="15" t="s">
        <v>271</v>
      </c>
      <c r="C28" s="29"/>
      <c r="D28" s="30">
        <v>0</v>
      </c>
      <c r="E28" s="31" t="s">
        <v>243</v>
      </c>
      <c r="F28" s="32">
        <v>562003</v>
      </c>
      <c r="G28" s="91" t="s">
        <v>140</v>
      </c>
      <c r="H28" s="20" t="s">
        <v>272</v>
      </c>
      <c r="I28" s="92" t="s">
        <v>273</v>
      </c>
      <c r="J28" s="92">
        <v>1</v>
      </c>
      <c r="K28" s="93" t="s">
        <v>246</v>
      </c>
      <c r="L28" s="94">
        <v>395</v>
      </c>
      <c r="M28" s="94">
        <v>17.95</v>
      </c>
      <c r="N28" s="23">
        <v>17.25</v>
      </c>
      <c r="O28" s="95">
        <v>46078</v>
      </c>
      <c r="P28" s="78">
        <v>27.6</v>
      </c>
      <c r="Q28" t="s">
        <v>365</v>
      </c>
    </row>
    <row r="29" spans="1:17" customFormat="1" ht="18.75" x14ac:dyDescent="0.25">
      <c r="A29" s="27"/>
      <c r="B29" s="28"/>
      <c r="C29" s="29"/>
      <c r="D29" s="30" t="s">
        <v>251</v>
      </c>
      <c r="E29" s="31" t="s">
        <v>243</v>
      </c>
      <c r="F29" s="32">
        <v>568000</v>
      </c>
      <c r="G29" s="33" t="s">
        <v>143</v>
      </c>
      <c r="H29" s="34" t="s">
        <v>274</v>
      </c>
      <c r="I29" s="79" t="s">
        <v>273</v>
      </c>
      <c r="J29" s="79">
        <v>1</v>
      </c>
      <c r="K29" s="80" t="s">
        <v>260</v>
      </c>
      <c r="L29" s="43">
        <v>440.32</v>
      </c>
      <c r="M29" s="43">
        <v>34.75</v>
      </c>
      <c r="N29" s="37">
        <v>17.25</v>
      </c>
      <c r="O29" s="96">
        <v>46078</v>
      </c>
      <c r="P29" s="78">
        <v>31.03</v>
      </c>
      <c r="Q29" t="s">
        <v>365</v>
      </c>
    </row>
    <row r="30" spans="1:17" customFormat="1" ht="15" customHeight="1" x14ac:dyDescent="0.25">
      <c r="A30" s="27"/>
      <c r="B30" s="28"/>
      <c r="C30" s="29"/>
      <c r="D30" s="30" t="s">
        <v>242</v>
      </c>
      <c r="E30" s="31" t="s">
        <v>243</v>
      </c>
      <c r="F30" s="32">
        <v>525000</v>
      </c>
      <c r="G30" s="33" t="s">
        <v>145</v>
      </c>
      <c r="H30" s="34" t="s">
        <v>275</v>
      </c>
      <c r="I30" s="79" t="s">
        <v>273</v>
      </c>
      <c r="J30" s="79">
        <v>1</v>
      </c>
      <c r="K30" s="80" t="s">
        <v>260</v>
      </c>
      <c r="L30" s="43">
        <v>440.32</v>
      </c>
      <c r="M30" s="43">
        <v>35.39</v>
      </c>
      <c r="N30" s="37">
        <v>17.25</v>
      </c>
      <c r="O30" s="96">
        <v>46078</v>
      </c>
      <c r="P30" s="78">
        <v>31.6</v>
      </c>
      <c r="Q30" t="s">
        <v>365</v>
      </c>
    </row>
    <row r="31" spans="1:17" customFormat="1" ht="15" customHeight="1" x14ac:dyDescent="0.25">
      <c r="A31" s="27"/>
      <c r="B31" s="28"/>
      <c r="C31" s="29"/>
      <c r="D31" s="30" t="s">
        <v>242</v>
      </c>
      <c r="E31" s="31" t="s">
        <v>243</v>
      </c>
      <c r="F31" s="32">
        <v>332000</v>
      </c>
      <c r="G31" s="33" t="s">
        <v>147</v>
      </c>
      <c r="H31" s="34" t="s">
        <v>276</v>
      </c>
      <c r="I31" s="79" t="s">
        <v>273</v>
      </c>
      <c r="J31" s="79">
        <v>1</v>
      </c>
      <c r="K31" s="80" t="s">
        <v>246</v>
      </c>
      <c r="L31" s="43">
        <v>395</v>
      </c>
      <c r="M31" s="43">
        <v>35.39</v>
      </c>
      <c r="N31" s="37">
        <v>17.25</v>
      </c>
      <c r="O31" s="96">
        <v>46078</v>
      </c>
      <c r="P31" s="78">
        <v>31.6</v>
      </c>
      <c r="Q31" t="s">
        <v>365</v>
      </c>
    </row>
    <row r="32" spans="1:17" customFormat="1" ht="15" customHeight="1" x14ac:dyDescent="0.25">
      <c r="A32" s="27"/>
      <c r="B32" s="28"/>
      <c r="C32" s="29"/>
      <c r="D32" s="30">
        <v>0</v>
      </c>
      <c r="E32" s="31" t="s">
        <v>243</v>
      </c>
      <c r="F32" s="32">
        <v>492001</v>
      </c>
      <c r="G32" s="33" t="s">
        <v>149</v>
      </c>
      <c r="H32" s="34" t="s">
        <v>277</v>
      </c>
      <c r="I32" s="79" t="s">
        <v>273</v>
      </c>
      <c r="J32" s="79">
        <v>1</v>
      </c>
      <c r="K32" s="80" t="s">
        <v>260</v>
      </c>
      <c r="L32" s="43">
        <v>440.32</v>
      </c>
      <c r="M32" s="43">
        <v>38.1</v>
      </c>
      <c r="N32" s="37">
        <v>17.25</v>
      </c>
      <c r="O32" s="96">
        <v>46078</v>
      </c>
      <c r="P32" s="78">
        <v>34.020000000000003</v>
      </c>
      <c r="Q32" t="s">
        <v>365</v>
      </c>
    </row>
    <row r="33" spans="1:17" customFormat="1" ht="15" customHeight="1" x14ac:dyDescent="0.25">
      <c r="A33" s="27"/>
      <c r="B33" s="28"/>
      <c r="C33" s="29"/>
      <c r="D33" s="30" t="s">
        <v>242</v>
      </c>
      <c r="E33" s="31" t="s">
        <v>243</v>
      </c>
      <c r="F33" s="32">
        <v>351000</v>
      </c>
      <c r="G33" s="33" t="s">
        <v>151</v>
      </c>
      <c r="H33" s="34" t="s">
        <v>278</v>
      </c>
      <c r="I33" s="79" t="s">
        <v>273</v>
      </c>
      <c r="J33" s="79">
        <v>1</v>
      </c>
      <c r="K33" s="85" t="s">
        <v>260</v>
      </c>
      <c r="L33" s="52">
        <v>440.32</v>
      </c>
      <c r="M33" s="43">
        <v>34.75</v>
      </c>
      <c r="N33" s="37">
        <v>17.25</v>
      </c>
      <c r="O33" s="96">
        <v>46078</v>
      </c>
      <c r="P33" s="78">
        <v>31.03</v>
      </c>
      <c r="Q33" t="s">
        <v>365</v>
      </c>
    </row>
    <row r="34" spans="1:17" customFormat="1" ht="15" customHeight="1" x14ac:dyDescent="0.25">
      <c r="A34" s="27"/>
      <c r="B34" s="28"/>
      <c r="C34" s="29"/>
      <c r="D34" s="30">
        <v>0</v>
      </c>
      <c r="E34" s="31">
        <v>0</v>
      </c>
      <c r="F34" s="32">
        <v>499001</v>
      </c>
      <c r="G34" s="33" t="s">
        <v>153</v>
      </c>
      <c r="H34" s="34" t="s">
        <v>279</v>
      </c>
      <c r="I34" s="79" t="s">
        <v>273</v>
      </c>
      <c r="J34" s="79">
        <v>1</v>
      </c>
      <c r="K34" s="97" t="s">
        <v>260</v>
      </c>
      <c r="L34" s="37">
        <v>440.32</v>
      </c>
      <c r="M34" s="43">
        <v>20.010000000000002</v>
      </c>
      <c r="N34" s="37">
        <v>17.25</v>
      </c>
      <c r="O34" s="96">
        <v>46078</v>
      </c>
      <c r="P34" s="78">
        <v>31.03</v>
      </c>
      <c r="Q34" t="s">
        <v>365</v>
      </c>
    </row>
    <row r="35" spans="1:17" customFormat="1" ht="15" customHeight="1" x14ac:dyDescent="0.25">
      <c r="A35" s="27"/>
      <c r="B35" s="28"/>
      <c r="C35" s="29"/>
      <c r="D35" s="30">
        <v>0</v>
      </c>
      <c r="E35" s="31">
        <v>0</v>
      </c>
      <c r="F35" s="32">
        <v>547121</v>
      </c>
      <c r="G35" s="33" t="s">
        <v>155</v>
      </c>
      <c r="H35" s="34" t="s">
        <v>280</v>
      </c>
      <c r="I35" s="79" t="s">
        <v>273</v>
      </c>
      <c r="J35" s="79">
        <v>1</v>
      </c>
      <c r="K35" s="97" t="s">
        <v>246</v>
      </c>
      <c r="L35" s="37">
        <v>395</v>
      </c>
      <c r="M35" s="43">
        <v>35.39</v>
      </c>
      <c r="N35" s="37">
        <v>17.25</v>
      </c>
      <c r="O35" s="96">
        <v>46078</v>
      </c>
      <c r="P35" s="78">
        <v>31.6</v>
      </c>
      <c r="Q35" t="s">
        <v>365</v>
      </c>
    </row>
    <row r="36" spans="1:17" customFormat="1" ht="15" customHeight="1" x14ac:dyDescent="0.25">
      <c r="A36" s="27"/>
      <c r="B36" s="28"/>
      <c r="C36" s="29"/>
      <c r="D36" s="30">
        <v>0</v>
      </c>
      <c r="E36" s="31" t="s">
        <v>243</v>
      </c>
      <c r="F36" s="98">
        <v>547123</v>
      </c>
      <c r="G36" s="33" t="s">
        <v>157</v>
      </c>
      <c r="H36" s="34" t="s">
        <v>281</v>
      </c>
      <c r="I36" s="79" t="s">
        <v>273</v>
      </c>
      <c r="J36" s="79">
        <v>1</v>
      </c>
      <c r="K36" s="97" t="s">
        <v>246</v>
      </c>
      <c r="L36" s="37">
        <v>395</v>
      </c>
      <c r="M36" s="43">
        <v>35.39</v>
      </c>
      <c r="N36" s="37">
        <v>17.25</v>
      </c>
      <c r="O36" s="96">
        <v>46078</v>
      </c>
      <c r="P36" s="99">
        <v>31.6</v>
      </c>
      <c r="Q36" t="s">
        <v>365</v>
      </c>
    </row>
    <row r="37" spans="1:17" customFormat="1" ht="15" customHeight="1" x14ac:dyDescent="0.25">
      <c r="A37" s="27"/>
      <c r="B37" s="28"/>
      <c r="C37" s="29"/>
      <c r="D37" s="30">
        <v>0</v>
      </c>
      <c r="E37" s="31" t="s">
        <v>243</v>
      </c>
      <c r="F37" s="32">
        <v>547126</v>
      </c>
      <c r="G37" s="33" t="s">
        <v>159</v>
      </c>
      <c r="H37" s="34" t="s">
        <v>279</v>
      </c>
      <c r="I37" s="79" t="s">
        <v>273</v>
      </c>
      <c r="J37" s="79">
        <v>1</v>
      </c>
      <c r="K37" s="97" t="s">
        <v>246</v>
      </c>
      <c r="L37" s="37">
        <v>395</v>
      </c>
      <c r="M37" s="43">
        <v>17.95</v>
      </c>
      <c r="N37" s="37">
        <v>17.25</v>
      </c>
      <c r="O37" s="96">
        <v>46078</v>
      </c>
      <c r="P37" s="78">
        <v>31.03</v>
      </c>
      <c r="Q37" t="s">
        <v>365</v>
      </c>
    </row>
    <row r="38" spans="1:17" customFormat="1" ht="15.75" customHeight="1" thickBot="1" x14ac:dyDescent="0.3">
      <c r="A38" s="27"/>
      <c r="B38" s="53"/>
      <c r="C38" s="29"/>
      <c r="D38" s="30">
        <v>0</v>
      </c>
      <c r="E38" s="31">
        <v>0</v>
      </c>
      <c r="F38" s="81">
        <v>614095</v>
      </c>
      <c r="G38" s="82" t="s">
        <v>161</v>
      </c>
      <c r="H38" s="83"/>
      <c r="I38" s="84"/>
      <c r="J38" s="84"/>
      <c r="K38" s="97"/>
      <c r="L38" s="37"/>
      <c r="M38" s="52">
        <v>39.200000000000003</v>
      </c>
      <c r="N38" s="60">
        <v>0</v>
      </c>
      <c r="O38" s="100"/>
      <c r="P38" s="78"/>
      <c r="Q38" t="s">
        <v>365</v>
      </c>
    </row>
    <row r="39" spans="1:17" customFormat="1" ht="15.75" customHeight="1" thickBot="1" x14ac:dyDescent="0.3">
      <c r="A39" s="27"/>
      <c r="B39" s="62"/>
      <c r="C39" s="29"/>
      <c r="D39" s="63"/>
      <c r="E39" s="64"/>
      <c r="F39" s="86"/>
      <c r="G39" s="87"/>
      <c r="H39" s="87"/>
      <c r="I39" s="67"/>
      <c r="J39" s="67"/>
      <c r="K39" s="68" t="s">
        <v>257</v>
      </c>
      <c r="L39" s="88"/>
      <c r="M39" s="69">
        <f>AVERAGE(M28:M38)</f>
        <v>31.297272727272727</v>
      </c>
      <c r="N39" s="101"/>
      <c r="O39" s="90"/>
      <c r="P39" s="72">
        <f>AVERAGE(P28:P38)</f>
        <v>31.213999999999999</v>
      </c>
    </row>
    <row r="40" spans="1:17" customFormat="1" ht="18.75" x14ac:dyDescent="0.25">
      <c r="A40" s="27"/>
      <c r="B40" s="102" t="s">
        <v>282</v>
      </c>
      <c r="C40" s="29"/>
      <c r="D40" s="30" t="s">
        <v>283</v>
      </c>
      <c r="E40" s="31" t="s">
        <v>284</v>
      </c>
      <c r="F40" s="103">
        <v>324000</v>
      </c>
      <c r="G40" s="104" t="s">
        <v>9</v>
      </c>
      <c r="H40" s="104" t="s">
        <v>285</v>
      </c>
      <c r="I40" s="21" t="s">
        <v>273</v>
      </c>
      <c r="J40" s="22">
        <v>1</v>
      </c>
      <c r="K40" s="21" t="s">
        <v>286</v>
      </c>
      <c r="L40" s="23">
        <v>850</v>
      </c>
      <c r="M40" s="105">
        <v>42.76</v>
      </c>
      <c r="N40" s="43">
        <v>17.25</v>
      </c>
      <c r="O40" s="24">
        <v>46078</v>
      </c>
      <c r="P40" s="25">
        <v>38.18</v>
      </c>
      <c r="Q40" t="s">
        <v>365</v>
      </c>
    </row>
    <row r="41" spans="1:17" customFormat="1" ht="12" customHeight="1" x14ac:dyDescent="0.25">
      <c r="A41" s="27"/>
      <c r="B41" s="106"/>
      <c r="C41" s="29"/>
      <c r="D41" s="30" t="s">
        <v>242</v>
      </c>
      <c r="E41" s="31" t="s">
        <v>284</v>
      </c>
      <c r="F41" s="32">
        <v>335000</v>
      </c>
      <c r="G41" s="107" t="s">
        <v>12</v>
      </c>
      <c r="H41" s="108" t="s">
        <v>287</v>
      </c>
      <c r="I41" s="35" t="s">
        <v>273</v>
      </c>
      <c r="J41" s="36">
        <v>1</v>
      </c>
      <c r="K41" s="35" t="s">
        <v>247</v>
      </c>
      <c r="L41" s="37">
        <v>820</v>
      </c>
      <c r="M41" s="109">
        <v>43.92</v>
      </c>
      <c r="N41" s="43">
        <v>17.25</v>
      </c>
      <c r="O41" s="38">
        <v>46078</v>
      </c>
      <c r="P41" s="25">
        <v>39.21</v>
      </c>
      <c r="Q41" t="s">
        <v>365</v>
      </c>
    </row>
    <row r="42" spans="1:17" customFormat="1" ht="15" customHeight="1" x14ac:dyDescent="0.25">
      <c r="A42" s="27"/>
      <c r="B42" s="106"/>
      <c r="C42" s="29"/>
      <c r="D42" s="30">
        <v>0</v>
      </c>
      <c r="E42" s="31" t="s">
        <v>284</v>
      </c>
      <c r="F42" s="32">
        <v>562001</v>
      </c>
      <c r="G42" s="107" t="s">
        <v>14</v>
      </c>
      <c r="H42" s="108" t="s">
        <v>288</v>
      </c>
      <c r="I42" s="35" t="s">
        <v>273</v>
      </c>
      <c r="J42" s="36">
        <v>1</v>
      </c>
      <c r="K42" s="35" t="s">
        <v>289</v>
      </c>
      <c r="L42" s="37">
        <v>30</v>
      </c>
      <c r="M42" s="109"/>
      <c r="N42" s="43">
        <v>17.25</v>
      </c>
      <c r="O42" s="38">
        <v>46078</v>
      </c>
      <c r="P42" s="25">
        <v>38.18</v>
      </c>
      <c r="Q42" t="s">
        <v>365</v>
      </c>
    </row>
    <row r="43" spans="1:17" customFormat="1" ht="15" customHeight="1" x14ac:dyDescent="0.25">
      <c r="A43" s="27"/>
      <c r="B43" s="106"/>
      <c r="C43" s="29"/>
      <c r="D43" s="30">
        <v>0</v>
      </c>
      <c r="E43" s="31" t="s">
        <v>284</v>
      </c>
      <c r="F43" s="32">
        <v>586000</v>
      </c>
      <c r="G43" s="107" t="s">
        <v>16</v>
      </c>
      <c r="H43" s="108" t="s">
        <v>290</v>
      </c>
      <c r="I43" s="35" t="s">
        <v>273</v>
      </c>
      <c r="J43" s="36">
        <v>1</v>
      </c>
      <c r="K43" s="35" t="s">
        <v>286</v>
      </c>
      <c r="L43" s="37">
        <v>850</v>
      </c>
      <c r="M43" s="109">
        <v>42.76</v>
      </c>
      <c r="N43" s="43">
        <v>17.25</v>
      </c>
      <c r="O43" s="38">
        <v>46078</v>
      </c>
      <c r="P43" s="25">
        <v>38.18</v>
      </c>
      <c r="Q43" t="s">
        <v>365</v>
      </c>
    </row>
    <row r="44" spans="1:17" customFormat="1" ht="15" customHeight="1" x14ac:dyDescent="0.25">
      <c r="A44" s="27"/>
      <c r="B44" s="106"/>
      <c r="C44" s="29"/>
      <c r="D44" s="30">
        <v>0</v>
      </c>
      <c r="E44" s="31" t="s">
        <v>284</v>
      </c>
      <c r="F44" s="32">
        <v>336000</v>
      </c>
      <c r="G44" s="107" t="s">
        <v>18</v>
      </c>
      <c r="H44" s="108" t="s">
        <v>291</v>
      </c>
      <c r="I44" s="35" t="s">
        <v>273</v>
      </c>
      <c r="J44" s="36">
        <v>1</v>
      </c>
      <c r="K44" s="35" t="s">
        <v>292</v>
      </c>
      <c r="L44" s="37">
        <v>850</v>
      </c>
      <c r="M44" s="109">
        <v>43.92</v>
      </c>
      <c r="N44" s="43">
        <v>17.25</v>
      </c>
      <c r="O44" s="38">
        <v>46078</v>
      </c>
      <c r="P44" s="25">
        <v>39.22</v>
      </c>
      <c r="Q44" t="s">
        <v>365</v>
      </c>
    </row>
    <row r="45" spans="1:17" customFormat="1" ht="14.45" customHeight="1" x14ac:dyDescent="0.25">
      <c r="A45" s="27"/>
      <c r="B45" s="106"/>
      <c r="C45" s="29"/>
      <c r="D45" s="30" t="s">
        <v>283</v>
      </c>
      <c r="E45" s="31" t="s">
        <v>284</v>
      </c>
      <c r="F45" s="32">
        <v>336001</v>
      </c>
      <c r="G45" s="108" t="s">
        <v>20</v>
      </c>
      <c r="H45" s="108" t="s">
        <v>293</v>
      </c>
      <c r="I45" s="35" t="s">
        <v>273</v>
      </c>
      <c r="J45" s="36">
        <v>1</v>
      </c>
      <c r="K45" s="35" t="s">
        <v>292</v>
      </c>
      <c r="L45" s="37">
        <v>850</v>
      </c>
      <c r="M45" s="109">
        <v>38.64</v>
      </c>
      <c r="N45" s="43">
        <v>17.25</v>
      </c>
      <c r="O45" s="38">
        <v>46078</v>
      </c>
      <c r="P45" s="25">
        <v>39.22</v>
      </c>
      <c r="Q45" t="s">
        <v>365</v>
      </c>
    </row>
    <row r="46" spans="1:17" customFormat="1" ht="15" customHeight="1" x14ac:dyDescent="0.25">
      <c r="A46" s="27"/>
      <c r="B46" s="106"/>
      <c r="C46" s="29"/>
      <c r="D46" s="30" t="s">
        <v>242</v>
      </c>
      <c r="E46" s="31" t="s">
        <v>284</v>
      </c>
      <c r="F46" s="32">
        <v>547010</v>
      </c>
      <c r="G46" s="108" t="s">
        <v>21</v>
      </c>
      <c r="H46" s="108" t="s">
        <v>294</v>
      </c>
      <c r="I46" s="35" t="s">
        <v>273</v>
      </c>
      <c r="J46" s="36">
        <v>1</v>
      </c>
      <c r="K46" s="35" t="s">
        <v>286</v>
      </c>
      <c r="L46" s="37">
        <v>850</v>
      </c>
      <c r="M46" s="109">
        <v>42.76</v>
      </c>
      <c r="N46" s="43">
        <v>17.25</v>
      </c>
      <c r="O46" s="38">
        <v>46078</v>
      </c>
      <c r="P46" s="25">
        <v>38.18</v>
      </c>
      <c r="Q46" t="s">
        <v>365</v>
      </c>
    </row>
    <row r="47" spans="1:17" customFormat="1" ht="15" customHeight="1" x14ac:dyDescent="0.25">
      <c r="A47" s="27"/>
      <c r="B47" s="106"/>
      <c r="C47" s="29"/>
      <c r="D47" s="30" t="s">
        <v>242</v>
      </c>
      <c r="E47" s="31" t="s">
        <v>284</v>
      </c>
      <c r="F47" s="32">
        <v>547085</v>
      </c>
      <c r="G47" s="107" t="s">
        <v>23</v>
      </c>
      <c r="H47" s="108" t="s">
        <v>295</v>
      </c>
      <c r="I47" s="35" t="s">
        <v>273</v>
      </c>
      <c r="J47" s="36">
        <v>1</v>
      </c>
      <c r="K47" s="76" t="s">
        <v>247</v>
      </c>
      <c r="L47" s="40">
        <v>820</v>
      </c>
      <c r="M47" s="110">
        <v>42.76</v>
      </c>
      <c r="N47" s="43">
        <v>17.25</v>
      </c>
      <c r="O47" s="41">
        <v>46078</v>
      </c>
      <c r="P47" s="25">
        <v>38.18</v>
      </c>
      <c r="Q47" t="s">
        <v>365</v>
      </c>
    </row>
    <row r="48" spans="1:17" customFormat="1" ht="30" customHeight="1" x14ac:dyDescent="0.25">
      <c r="A48" s="27"/>
      <c r="B48" s="106"/>
      <c r="C48" s="29"/>
      <c r="D48" s="30" t="s">
        <v>242</v>
      </c>
      <c r="E48" s="31" t="s">
        <v>284</v>
      </c>
      <c r="F48" s="32">
        <v>315000</v>
      </c>
      <c r="G48" s="107" t="s">
        <v>25</v>
      </c>
      <c r="H48" s="108" t="s">
        <v>296</v>
      </c>
      <c r="I48" s="35" t="s">
        <v>273</v>
      </c>
      <c r="J48" s="36">
        <v>1</v>
      </c>
      <c r="K48" s="80" t="s">
        <v>297</v>
      </c>
      <c r="L48" s="43"/>
      <c r="M48" s="111">
        <v>43.92</v>
      </c>
      <c r="N48" s="43">
        <v>17.25</v>
      </c>
      <c r="O48" s="96">
        <v>46078</v>
      </c>
      <c r="P48" s="25">
        <v>39.22</v>
      </c>
      <c r="Q48" t="s">
        <v>365</v>
      </c>
    </row>
    <row r="49" spans="1:17" customFormat="1" ht="30" customHeight="1" x14ac:dyDescent="0.25">
      <c r="A49" s="27"/>
      <c r="B49" s="106"/>
      <c r="C49" s="29"/>
      <c r="D49" s="30">
        <v>0</v>
      </c>
      <c r="E49" s="31" t="s">
        <v>284</v>
      </c>
      <c r="F49" s="32">
        <v>323001</v>
      </c>
      <c r="G49" s="107" t="s">
        <v>27</v>
      </c>
      <c r="H49" s="108" t="s">
        <v>298</v>
      </c>
      <c r="I49" s="35" t="s">
        <v>273</v>
      </c>
      <c r="J49" s="36">
        <v>1</v>
      </c>
      <c r="K49" s="80" t="s">
        <v>247</v>
      </c>
      <c r="L49" s="43">
        <v>820</v>
      </c>
      <c r="M49" s="111">
        <v>42.76</v>
      </c>
      <c r="N49" s="43">
        <v>17.25</v>
      </c>
      <c r="O49" s="96">
        <v>46078</v>
      </c>
      <c r="P49" s="25">
        <v>38.18</v>
      </c>
      <c r="Q49" t="s">
        <v>365</v>
      </c>
    </row>
    <row r="50" spans="1:17" customFormat="1" ht="15.75" customHeight="1" x14ac:dyDescent="0.25">
      <c r="A50" s="27"/>
      <c r="B50" s="106"/>
      <c r="C50" s="29"/>
      <c r="D50" s="30" t="s">
        <v>242</v>
      </c>
      <c r="E50" s="31" t="s">
        <v>284</v>
      </c>
      <c r="F50" s="32">
        <v>547052</v>
      </c>
      <c r="G50" s="107" t="s">
        <v>29</v>
      </c>
      <c r="H50" s="108" t="s">
        <v>299</v>
      </c>
      <c r="I50" s="35" t="s">
        <v>273</v>
      </c>
      <c r="J50" s="36">
        <v>1</v>
      </c>
      <c r="K50" s="112" t="s">
        <v>247</v>
      </c>
      <c r="L50" s="113">
        <v>820</v>
      </c>
      <c r="M50" s="113">
        <v>42.76</v>
      </c>
      <c r="N50" s="43">
        <v>17.25</v>
      </c>
      <c r="O50" s="96">
        <v>46078</v>
      </c>
      <c r="P50" s="25">
        <v>38.18</v>
      </c>
      <c r="Q50" t="s">
        <v>365</v>
      </c>
    </row>
    <row r="51" spans="1:17" customFormat="1" ht="15.75" customHeight="1" x14ac:dyDescent="0.25">
      <c r="A51" s="27"/>
      <c r="B51" s="106"/>
      <c r="C51" s="29"/>
      <c r="D51" s="30" t="s">
        <v>242</v>
      </c>
      <c r="E51" s="31" t="s">
        <v>284</v>
      </c>
      <c r="F51" s="32">
        <v>437000</v>
      </c>
      <c r="G51" s="108" t="s">
        <v>31</v>
      </c>
      <c r="H51" s="108" t="s">
        <v>300</v>
      </c>
      <c r="I51" s="35" t="s">
        <v>273</v>
      </c>
      <c r="J51" s="36">
        <v>1</v>
      </c>
      <c r="K51" s="114" t="s">
        <v>247</v>
      </c>
      <c r="L51" s="115">
        <v>820</v>
      </c>
      <c r="M51" s="115">
        <v>42.76</v>
      </c>
      <c r="N51" s="43">
        <v>17.25</v>
      </c>
      <c r="O51" s="96">
        <v>46078</v>
      </c>
      <c r="P51" s="25">
        <v>38.18</v>
      </c>
      <c r="Q51" t="s">
        <v>365</v>
      </c>
    </row>
    <row r="52" spans="1:17" customFormat="1" ht="15.75" customHeight="1" x14ac:dyDescent="0.25">
      <c r="A52" s="27"/>
      <c r="B52" s="106"/>
      <c r="C52" s="29"/>
      <c r="D52" s="30">
        <v>0</v>
      </c>
      <c r="E52" s="31" t="s">
        <v>284</v>
      </c>
      <c r="F52" s="98">
        <v>421000</v>
      </c>
      <c r="G52" s="107" t="s">
        <v>33</v>
      </c>
      <c r="H52" s="108" t="s">
        <v>301</v>
      </c>
      <c r="I52" s="35" t="s">
        <v>273</v>
      </c>
      <c r="J52" s="36">
        <v>1</v>
      </c>
      <c r="K52" s="114" t="s">
        <v>247</v>
      </c>
      <c r="L52" s="115">
        <v>820</v>
      </c>
      <c r="M52" s="115">
        <v>42.76</v>
      </c>
      <c r="N52" s="43">
        <v>17.25</v>
      </c>
      <c r="O52" s="96">
        <v>46078</v>
      </c>
      <c r="P52" s="25">
        <v>38.18</v>
      </c>
      <c r="Q52" t="s">
        <v>365</v>
      </c>
    </row>
    <row r="53" spans="1:17" customFormat="1" ht="15.75" customHeight="1" x14ac:dyDescent="0.25">
      <c r="A53" s="27"/>
      <c r="B53" s="106"/>
      <c r="C53" s="29"/>
      <c r="D53" s="30">
        <v>0</v>
      </c>
      <c r="E53" s="31" t="s">
        <v>284</v>
      </c>
      <c r="F53" s="98">
        <v>405000</v>
      </c>
      <c r="G53" s="107" t="s">
        <v>35</v>
      </c>
      <c r="H53" s="108" t="s">
        <v>302</v>
      </c>
      <c r="I53" s="35" t="s">
        <v>273</v>
      </c>
      <c r="J53" s="36">
        <v>1</v>
      </c>
      <c r="K53" s="116" t="s">
        <v>286</v>
      </c>
      <c r="L53" s="117">
        <v>850</v>
      </c>
      <c r="M53" s="117">
        <v>43.92</v>
      </c>
      <c r="N53" s="43">
        <v>17.25</v>
      </c>
      <c r="O53" s="96">
        <v>46078</v>
      </c>
      <c r="P53" s="25">
        <v>39.22</v>
      </c>
      <c r="Q53" t="s">
        <v>365</v>
      </c>
    </row>
    <row r="54" spans="1:17" customFormat="1" ht="15" customHeight="1" x14ac:dyDescent="0.25">
      <c r="A54" s="27"/>
      <c r="B54" s="106"/>
      <c r="C54" s="29"/>
      <c r="D54" s="30" t="s">
        <v>242</v>
      </c>
      <c r="E54" s="31" t="s">
        <v>284</v>
      </c>
      <c r="F54" s="32">
        <v>547058</v>
      </c>
      <c r="G54" s="107" t="s">
        <v>37</v>
      </c>
      <c r="H54" s="108" t="s">
        <v>303</v>
      </c>
      <c r="I54" s="35" t="s">
        <v>273</v>
      </c>
      <c r="J54" s="36">
        <v>1</v>
      </c>
      <c r="K54" s="85" t="s">
        <v>247</v>
      </c>
      <c r="L54" s="52">
        <v>820</v>
      </c>
      <c r="M54" s="118">
        <v>44.05</v>
      </c>
      <c r="N54" s="43">
        <v>17.25</v>
      </c>
      <c r="O54" s="96">
        <v>46078</v>
      </c>
      <c r="P54" s="25">
        <v>39.33</v>
      </c>
      <c r="Q54" t="s">
        <v>365</v>
      </c>
    </row>
    <row r="55" spans="1:17" customFormat="1" ht="14.45" customHeight="1" x14ac:dyDescent="0.25">
      <c r="A55" s="27"/>
      <c r="B55" s="106"/>
      <c r="C55" s="29"/>
      <c r="D55" s="30" t="s">
        <v>283</v>
      </c>
      <c r="E55" s="31" t="s">
        <v>284</v>
      </c>
      <c r="F55" s="32">
        <v>431000</v>
      </c>
      <c r="G55" s="107" t="s">
        <v>39</v>
      </c>
      <c r="H55" s="107" t="s">
        <v>304</v>
      </c>
      <c r="I55" s="35" t="s">
        <v>273</v>
      </c>
      <c r="J55" s="36">
        <v>1</v>
      </c>
      <c r="K55" s="97" t="s">
        <v>247</v>
      </c>
      <c r="L55" s="37">
        <v>820</v>
      </c>
      <c r="M55" s="109">
        <v>43.92</v>
      </c>
      <c r="N55" s="43">
        <v>17.25</v>
      </c>
      <c r="O55" s="96">
        <v>46078</v>
      </c>
      <c r="P55" s="25">
        <v>39.15</v>
      </c>
      <c r="Q55" t="s">
        <v>365</v>
      </c>
    </row>
    <row r="56" spans="1:17" customFormat="1" ht="14.45" customHeight="1" x14ac:dyDescent="0.25">
      <c r="A56" s="27"/>
      <c r="B56" s="106"/>
      <c r="C56" s="29"/>
      <c r="D56" s="30"/>
      <c r="E56" s="31"/>
      <c r="F56" s="32">
        <v>547119</v>
      </c>
      <c r="G56" s="107" t="s">
        <v>305</v>
      </c>
      <c r="H56" s="107"/>
      <c r="I56" s="35"/>
      <c r="J56" s="36"/>
      <c r="K56" s="97"/>
      <c r="L56" s="37"/>
      <c r="M56" s="109">
        <v>43.93</v>
      </c>
      <c r="N56" s="43">
        <v>17.25</v>
      </c>
      <c r="O56" s="96"/>
      <c r="P56" s="25"/>
      <c r="Q56" t="s">
        <v>365</v>
      </c>
    </row>
    <row r="57" spans="1:17" customFormat="1" ht="14.45" customHeight="1" x14ac:dyDescent="0.25">
      <c r="A57" s="27"/>
      <c r="B57" s="106"/>
      <c r="C57" s="29"/>
      <c r="D57" s="30"/>
      <c r="E57" s="31"/>
      <c r="F57" s="32">
        <v>575783</v>
      </c>
      <c r="G57" s="107" t="s">
        <v>43</v>
      </c>
      <c r="H57" s="107"/>
      <c r="I57" s="35"/>
      <c r="J57" s="36"/>
      <c r="K57" s="97"/>
      <c r="L57" s="37"/>
      <c r="M57" s="109">
        <v>50.4</v>
      </c>
      <c r="N57" s="43"/>
      <c r="O57" s="96"/>
      <c r="P57" s="25"/>
      <c r="Q57" t="s">
        <v>365</v>
      </c>
    </row>
    <row r="58" spans="1:17" customFormat="1" ht="18.75" x14ac:dyDescent="0.25">
      <c r="A58" s="27"/>
      <c r="B58" s="106"/>
      <c r="C58" s="29"/>
      <c r="D58" s="30" t="s">
        <v>251</v>
      </c>
      <c r="E58" s="31" t="s">
        <v>284</v>
      </c>
      <c r="F58" s="32">
        <v>518001</v>
      </c>
      <c r="G58" s="108" t="s">
        <v>45</v>
      </c>
      <c r="H58" s="108"/>
      <c r="I58" s="35"/>
      <c r="J58" s="36"/>
      <c r="K58" s="97"/>
      <c r="L58" s="37"/>
      <c r="M58" s="109">
        <v>42.76</v>
      </c>
      <c r="N58" s="43">
        <v>17.25</v>
      </c>
      <c r="O58" s="96"/>
      <c r="P58" s="25"/>
      <c r="Q58" t="s">
        <v>365</v>
      </c>
    </row>
    <row r="59" spans="1:17" customFormat="1" ht="15.75" customHeight="1" thickBot="1" x14ac:dyDescent="0.3">
      <c r="A59" s="27"/>
      <c r="B59" s="119"/>
      <c r="C59" s="29"/>
      <c r="D59" s="30">
        <v>0</v>
      </c>
      <c r="E59" s="31">
        <v>0</v>
      </c>
      <c r="F59" s="120">
        <v>547147</v>
      </c>
      <c r="G59" s="121" t="s">
        <v>47</v>
      </c>
      <c r="H59" s="122"/>
      <c r="I59" s="57"/>
      <c r="J59" s="123"/>
      <c r="K59" s="77"/>
      <c r="L59" s="40"/>
      <c r="M59" s="110">
        <v>42.76</v>
      </c>
      <c r="N59" s="43">
        <v>17.25</v>
      </c>
      <c r="O59" s="124"/>
      <c r="P59" s="25"/>
      <c r="Q59" t="s">
        <v>365</v>
      </c>
    </row>
    <row r="60" spans="1:17" customFormat="1" ht="15.75" customHeight="1" thickBot="1" x14ac:dyDescent="0.3">
      <c r="A60" s="27"/>
      <c r="B60" s="62"/>
      <c r="C60" s="29"/>
      <c r="D60" s="63"/>
      <c r="E60" s="64"/>
      <c r="F60" s="86"/>
      <c r="G60" s="125"/>
      <c r="H60" s="125"/>
      <c r="I60" s="67"/>
      <c r="J60" s="126"/>
      <c r="K60" s="127" t="s">
        <v>257</v>
      </c>
      <c r="L60" s="128"/>
      <c r="M60" s="129">
        <f>AVERAGE(M40:M59)</f>
        <v>43.379999999999988</v>
      </c>
      <c r="N60" s="130"/>
      <c r="O60" s="90"/>
      <c r="P60" s="72">
        <f>AVERAGE(P40:P59)</f>
        <v>38.636875000000003</v>
      </c>
    </row>
    <row r="61" spans="1:17" customFormat="1" ht="18.75" x14ac:dyDescent="0.25">
      <c r="A61" s="27"/>
      <c r="B61" s="131" t="s">
        <v>306</v>
      </c>
      <c r="C61" s="29"/>
      <c r="D61" s="30" t="s">
        <v>307</v>
      </c>
      <c r="E61" s="31" t="s">
        <v>284</v>
      </c>
      <c r="F61" s="19">
        <v>304000</v>
      </c>
      <c r="G61" s="132" t="s">
        <v>49</v>
      </c>
      <c r="H61" s="133" t="s">
        <v>308</v>
      </c>
      <c r="I61" s="76" t="s">
        <v>273</v>
      </c>
      <c r="J61" s="76">
        <v>1</v>
      </c>
      <c r="K61" s="21" t="s">
        <v>286</v>
      </c>
      <c r="L61" s="23">
        <v>850</v>
      </c>
      <c r="M61" s="23">
        <v>43.92</v>
      </c>
      <c r="N61" s="37">
        <v>17.25</v>
      </c>
      <c r="O61" s="24">
        <v>46078</v>
      </c>
      <c r="P61" s="78">
        <v>39.22</v>
      </c>
      <c r="Q61" t="s">
        <v>365</v>
      </c>
    </row>
    <row r="62" spans="1:17" customFormat="1" ht="18.75" x14ac:dyDescent="0.25">
      <c r="A62" s="27"/>
      <c r="B62" s="134"/>
      <c r="C62" s="29"/>
      <c r="D62" s="30" t="s">
        <v>307</v>
      </c>
      <c r="E62" s="31" t="s">
        <v>284</v>
      </c>
      <c r="F62" s="32">
        <v>304001</v>
      </c>
      <c r="G62" s="107" t="s">
        <v>51</v>
      </c>
      <c r="H62" s="108" t="s">
        <v>309</v>
      </c>
      <c r="I62" s="79" t="s">
        <v>273</v>
      </c>
      <c r="J62" s="79">
        <v>1</v>
      </c>
      <c r="K62" s="76" t="s">
        <v>286</v>
      </c>
      <c r="L62" s="40">
        <v>850</v>
      </c>
      <c r="M62" s="40">
        <v>38.64</v>
      </c>
      <c r="N62" s="37">
        <v>17.25</v>
      </c>
      <c r="O62" s="41">
        <v>46078</v>
      </c>
      <c r="P62" s="78"/>
      <c r="Q62" t="s">
        <v>365</v>
      </c>
    </row>
    <row r="63" spans="1:17" customFormat="1" ht="15" customHeight="1" x14ac:dyDescent="0.25">
      <c r="A63" s="27"/>
      <c r="B63" s="134"/>
      <c r="C63" s="29"/>
      <c r="D63" s="30">
        <v>0</v>
      </c>
      <c r="E63" s="31" t="s">
        <v>284</v>
      </c>
      <c r="F63" s="32">
        <v>547012</v>
      </c>
      <c r="G63" s="107" t="s">
        <v>53</v>
      </c>
      <c r="H63" s="108" t="s">
        <v>310</v>
      </c>
      <c r="I63" s="79" t="s">
        <v>273</v>
      </c>
      <c r="J63" s="79">
        <v>1</v>
      </c>
      <c r="K63" s="51" t="s">
        <v>292</v>
      </c>
      <c r="L63" s="52">
        <v>850</v>
      </c>
      <c r="M63" s="52">
        <v>43.92</v>
      </c>
      <c r="N63" s="37">
        <v>17.25</v>
      </c>
      <c r="O63" s="100">
        <v>46078</v>
      </c>
      <c r="P63" s="99">
        <v>39.22</v>
      </c>
      <c r="Q63" t="s">
        <v>365</v>
      </c>
    </row>
    <row r="64" spans="1:17" customFormat="1" ht="15" customHeight="1" x14ac:dyDescent="0.25">
      <c r="A64" s="27"/>
      <c r="B64" s="134"/>
      <c r="C64" s="29"/>
      <c r="D64" s="30" t="s">
        <v>242</v>
      </c>
      <c r="E64" s="31" t="s">
        <v>284</v>
      </c>
      <c r="F64" s="32">
        <v>319000</v>
      </c>
      <c r="G64" s="107" t="s">
        <v>55</v>
      </c>
      <c r="H64" s="108" t="s">
        <v>311</v>
      </c>
      <c r="I64" s="79" t="s">
        <v>273</v>
      </c>
      <c r="J64" s="79">
        <v>1</v>
      </c>
      <c r="K64" s="39" t="s">
        <v>247</v>
      </c>
      <c r="L64" s="40">
        <v>820</v>
      </c>
      <c r="M64" s="40">
        <v>43.92</v>
      </c>
      <c r="N64" s="37">
        <v>17.25</v>
      </c>
      <c r="O64" s="41">
        <v>46078</v>
      </c>
      <c r="P64" s="78">
        <v>39.22</v>
      </c>
      <c r="Q64" t="s">
        <v>365</v>
      </c>
    </row>
    <row r="65" spans="1:19" customFormat="1" ht="30" customHeight="1" x14ac:dyDescent="0.25">
      <c r="A65" s="27"/>
      <c r="B65" s="134"/>
      <c r="C65" s="29"/>
      <c r="D65" s="30">
        <v>0</v>
      </c>
      <c r="E65" s="31" t="s">
        <v>284</v>
      </c>
      <c r="F65" s="32">
        <v>547088</v>
      </c>
      <c r="G65" s="107" t="s">
        <v>57</v>
      </c>
      <c r="H65" s="108" t="s">
        <v>312</v>
      </c>
      <c r="I65" s="79" t="s">
        <v>273</v>
      </c>
      <c r="J65" s="79">
        <v>1</v>
      </c>
      <c r="K65" s="85" t="s">
        <v>292</v>
      </c>
      <c r="L65" s="52">
        <v>850</v>
      </c>
      <c r="M65" s="52">
        <v>43.92</v>
      </c>
      <c r="N65" s="37">
        <v>17.25</v>
      </c>
      <c r="O65" s="100">
        <v>46078</v>
      </c>
      <c r="P65" s="78">
        <v>39.22</v>
      </c>
      <c r="Q65" t="s">
        <v>365</v>
      </c>
    </row>
    <row r="66" spans="1:19" customFormat="1" ht="30" customHeight="1" x14ac:dyDescent="0.25">
      <c r="A66" s="27"/>
      <c r="B66" s="134"/>
      <c r="C66" s="29"/>
      <c r="D66" s="30" t="s">
        <v>307</v>
      </c>
      <c r="E66" s="31" t="s">
        <v>284</v>
      </c>
      <c r="F66" s="32">
        <v>490000</v>
      </c>
      <c r="G66" s="108" t="s">
        <v>59</v>
      </c>
      <c r="H66" s="108" t="s">
        <v>313</v>
      </c>
      <c r="I66" s="79" t="s">
        <v>273</v>
      </c>
      <c r="J66" s="79">
        <v>1</v>
      </c>
      <c r="K66" s="97" t="s">
        <v>247</v>
      </c>
      <c r="L66" s="37">
        <v>820</v>
      </c>
      <c r="M66" s="37">
        <v>43.92</v>
      </c>
      <c r="N66" s="37">
        <v>17.25</v>
      </c>
      <c r="O66" s="38">
        <v>46078</v>
      </c>
      <c r="P66" s="135">
        <v>39.22</v>
      </c>
      <c r="Q66" t="s">
        <v>365</v>
      </c>
    </row>
    <row r="67" spans="1:19" customFormat="1" ht="15" customHeight="1" x14ac:dyDescent="0.25">
      <c r="A67" s="27"/>
      <c r="B67" s="134"/>
      <c r="C67" s="29"/>
      <c r="D67" s="30">
        <v>0</v>
      </c>
      <c r="E67" s="31" t="s">
        <v>284</v>
      </c>
      <c r="F67" s="32">
        <v>547114</v>
      </c>
      <c r="G67" s="108" t="s">
        <v>61</v>
      </c>
      <c r="H67" s="108" t="s">
        <v>312</v>
      </c>
      <c r="I67" s="79" t="s">
        <v>273</v>
      </c>
      <c r="J67" s="79">
        <v>1</v>
      </c>
      <c r="K67" s="97" t="s">
        <v>292</v>
      </c>
      <c r="L67" s="37">
        <v>850</v>
      </c>
      <c r="M67" s="37">
        <v>43.93</v>
      </c>
      <c r="N67" s="37">
        <v>17.25</v>
      </c>
      <c r="O67" s="38">
        <v>46078</v>
      </c>
      <c r="P67" s="78">
        <v>39.22</v>
      </c>
      <c r="Q67" t="s">
        <v>365</v>
      </c>
      <c r="R67" s="136"/>
      <c r="S67" s="137"/>
    </row>
    <row r="68" spans="1:19" customFormat="1" ht="15.75" customHeight="1" thickBot="1" x14ac:dyDescent="0.3">
      <c r="A68" s="27"/>
      <c r="B68" s="134"/>
      <c r="C68" s="29"/>
      <c r="D68" s="30">
        <v>0</v>
      </c>
      <c r="E68" s="31" t="s">
        <v>284</v>
      </c>
      <c r="F68" s="120">
        <v>620000</v>
      </c>
      <c r="G68" s="138" t="s">
        <v>63</v>
      </c>
      <c r="H68" s="121" t="s">
        <v>314</v>
      </c>
      <c r="I68" s="139" t="s">
        <v>273</v>
      </c>
      <c r="J68" s="139">
        <v>1</v>
      </c>
      <c r="K68" s="140" t="s">
        <v>292</v>
      </c>
      <c r="L68" s="60">
        <v>850</v>
      </c>
      <c r="M68" s="60">
        <v>41.44</v>
      </c>
      <c r="N68" s="60">
        <v>17.25</v>
      </c>
      <c r="O68" s="61">
        <v>46078</v>
      </c>
      <c r="P68" s="78">
        <v>37</v>
      </c>
      <c r="Q68" t="s">
        <v>365</v>
      </c>
    </row>
    <row r="69" spans="1:19" customFormat="1" ht="15.75" customHeight="1" thickBot="1" x14ac:dyDescent="0.3">
      <c r="A69" s="27"/>
      <c r="B69" s="141"/>
      <c r="C69" s="29"/>
      <c r="D69" s="63"/>
      <c r="E69" s="64"/>
      <c r="F69" s="86"/>
      <c r="G69" s="87"/>
      <c r="H69" s="87"/>
      <c r="I69" s="67"/>
      <c r="J69" s="67"/>
      <c r="K69" s="68" t="s">
        <v>257</v>
      </c>
      <c r="L69" s="88"/>
      <c r="M69" s="69">
        <f>AVERAGE(M61:M68)</f>
        <v>42.951250000000002</v>
      </c>
      <c r="N69" s="67"/>
      <c r="O69" s="90"/>
      <c r="P69" s="72">
        <f>AVERAGE(P61:P68)</f>
        <v>38.902857142857144</v>
      </c>
    </row>
    <row r="70" spans="1:19" customFormat="1" ht="15" customHeight="1" x14ac:dyDescent="0.25">
      <c r="A70" s="27"/>
      <c r="B70" s="142" t="s">
        <v>315</v>
      </c>
      <c r="C70" s="29"/>
      <c r="D70" s="30" t="s">
        <v>242</v>
      </c>
      <c r="E70" s="31" t="s">
        <v>243</v>
      </c>
      <c r="F70" s="19">
        <v>480000</v>
      </c>
      <c r="G70" s="74" t="s">
        <v>65</v>
      </c>
      <c r="H70" s="75" t="s">
        <v>316</v>
      </c>
      <c r="I70" s="76" t="s">
        <v>245</v>
      </c>
      <c r="J70" s="39">
        <v>1</v>
      </c>
      <c r="K70" s="143" t="s">
        <v>232</v>
      </c>
      <c r="L70" s="115">
        <v>50</v>
      </c>
      <c r="M70" s="37">
        <v>39.549999999999997</v>
      </c>
      <c r="N70" s="37">
        <v>17.25</v>
      </c>
      <c r="O70" s="38">
        <v>46078</v>
      </c>
      <c r="P70" s="135">
        <v>35.31</v>
      </c>
      <c r="Q70" t="s">
        <v>365</v>
      </c>
    </row>
    <row r="71" spans="1:19" customFormat="1" ht="27" customHeight="1" x14ac:dyDescent="0.25">
      <c r="A71" s="27"/>
      <c r="B71" s="144"/>
      <c r="C71" s="29"/>
      <c r="D71" s="30" t="s">
        <v>251</v>
      </c>
      <c r="E71" s="31" t="s">
        <v>243</v>
      </c>
      <c r="F71" s="32">
        <v>547051</v>
      </c>
      <c r="G71" s="33" t="s">
        <v>68</v>
      </c>
      <c r="H71" s="34" t="s">
        <v>317</v>
      </c>
      <c r="I71" s="79" t="s">
        <v>245</v>
      </c>
      <c r="J71" s="42">
        <v>1</v>
      </c>
      <c r="K71" s="143"/>
      <c r="L71" s="145"/>
      <c r="M71" s="37">
        <v>39.54</v>
      </c>
      <c r="N71" s="37">
        <v>17.25</v>
      </c>
      <c r="O71" s="38">
        <v>46078</v>
      </c>
      <c r="P71" s="78">
        <v>35.31</v>
      </c>
      <c r="Q71" t="s">
        <v>365</v>
      </c>
    </row>
    <row r="72" spans="1:19" customFormat="1" ht="18.75" x14ac:dyDescent="0.25">
      <c r="A72" s="27"/>
      <c r="B72" s="144"/>
      <c r="C72" s="29"/>
      <c r="D72" s="30" t="s">
        <v>251</v>
      </c>
      <c r="E72" s="31" t="s">
        <v>243</v>
      </c>
      <c r="F72" s="32">
        <v>482000</v>
      </c>
      <c r="G72" s="33" t="s">
        <v>70</v>
      </c>
      <c r="H72" s="34" t="s">
        <v>318</v>
      </c>
      <c r="I72" s="79" t="s">
        <v>245</v>
      </c>
      <c r="J72" s="42">
        <v>1</v>
      </c>
      <c r="K72" s="143" t="s">
        <v>232</v>
      </c>
      <c r="L72" s="115">
        <v>50</v>
      </c>
      <c r="M72" s="37">
        <v>42.38</v>
      </c>
      <c r="N72" s="37">
        <v>17.25</v>
      </c>
      <c r="O72" s="38">
        <v>46078</v>
      </c>
      <c r="P72" s="78">
        <v>37.840000000000003</v>
      </c>
      <c r="Q72" t="s">
        <v>365</v>
      </c>
    </row>
    <row r="73" spans="1:19" customFormat="1" ht="15" customHeight="1" x14ac:dyDescent="0.25">
      <c r="A73" s="27"/>
      <c r="B73" s="144"/>
      <c r="C73" s="29"/>
      <c r="D73" s="30">
        <v>0</v>
      </c>
      <c r="E73" s="31" t="s">
        <v>243</v>
      </c>
      <c r="F73" s="32">
        <v>571000</v>
      </c>
      <c r="G73" s="33" t="s">
        <v>72</v>
      </c>
      <c r="H73" s="34" t="s">
        <v>319</v>
      </c>
      <c r="I73" s="79" t="s">
        <v>245</v>
      </c>
      <c r="J73" s="42">
        <v>1</v>
      </c>
      <c r="K73" s="143"/>
      <c r="L73" s="115"/>
      <c r="M73" s="37">
        <v>43.92</v>
      </c>
      <c r="N73" s="37">
        <v>17.25</v>
      </c>
      <c r="O73" s="38">
        <v>46078</v>
      </c>
      <c r="P73" s="78">
        <v>39.22</v>
      </c>
      <c r="Q73" t="s">
        <v>365</v>
      </c>
    </row>
    <row r="74" spans="1:19" customFormat="1" ht="27" customHeight="1" x14ac:dyDescent="0.25">
      <c r="A74" s="27"/>
      <c r="B74" s="144"/>
      <c r="C74" s="29"/>
      <c r="D74" s="30" t="s">
        <v>251</v>
      </c>
      <c r="E74" s="31" t="s">
        <v>243</v>
      </c>
      <c r="F74" s="32">
        <v>409000</v>
      </c>
      <c r="G74" s="33" t="s">
        <v>74</v>
      </c>
      <c r="H74" s="34" t="s">
        <v>320</v>
      </c>
      <c r="I74" s="79" t="s">
        <v>245</v>
      </c>
      <c r="J74" s="42">
        <v>1</v>
      </c>
      <c r="K74" s="146"/>
      <c r="L74" s="147"/>
      <c r="M74" s="40">
        <v>39.54</v>
      </c>
      <c r="N74" s="37">
        <v>17.25</v>
      </c>
      <c r="O74" s="41">
        <v>46078</v>
      </c>
      <c r="P74" s="78">
        <v>35.31</v>
      </c>
      <c r="Q74" t="s">
        <v>365</v>
      </c>
    </row>
    <row r="75" spans="1:19" customFormat="1" ht="18.75" x14ac:dyDescent="0.25">
      <c r="A75" s="27"/>
      <c r="B75" s="144"/>
      <c r="C75" s="29"/>
      <c r="D75" s="30" t="s">
        <v>251</v>
      </c>
      <c r="E75" s="31" t="s">
        <v>243</v>
      </c>
      <c r="F75" s="32">
        <v>581000</v>
      </c>
      <c r="G75" s="33" t="s">
        <v>76</v>
      </c>
      <c r="H75" s="34" t="s">
        <v>321</v>
      </c>
      <c r="I75" s="79" t="s">
        <v>245</v>
      </c>
      <c r="J75" s="42">
        <v>1</v>
      </c>
      <c r="K75" s="148" t="s">
        <v>286</v>
      </c>
      <c r="L75" s="52">
        <v>450</v>
      </c>
      <c r="M75" s="52">
        <v>42.38</v>
      </c>
      <c r="N75" s="37">
        <v>17.25</v>
      </c>
      <c r="O75" s="100">
        <v>46078</v>
      </c>
      <c r="P75" s="78">
        <v>37.840000000000003</v>
      </c>
      <c r="Q75" t="s">
        <v>365</v>
      </c>
    </row>
    <row r="76" spans="1:19" customFormat="1" ht="15" customHeight="1" x14ac:dyDescent="0.25">
      <c r="A76" s="27"/>
      <c r="B76" s="144"/>
      <c r="C76" s="29"/>
      <c r="D76" s="30">
        <v>0</v>
      </c>
      <c r="E76" s="31" t="s">
        <v>243</v>
      </c>
      <c r="F76" s="149">
        <v>534000</v>
      </c>
      <c r="G76" s="150" t="s">
        <v>78</v>
      </c>
      <c r="H76" s="150" t="s">
        <v>322</v>
      </c>
      <c r="I76" s="79" t="s">
        <v>245</v>
      </c>
      <c r="J76" s="42">
        <v>1</v>
      </c>
      <c r="K76" s="151"/>
      <c r="L76" s="37"/>
      <c r="M76" s="37">
        <v>39.54</v>
      </c>
      <c r="N76" s="37">
        <v>17.25</v>
      </c>
      <c r="O76" s="38">
        <v>46078</v>
      </c>
      <c r="P76" s="78">
        <v>35.31</v>
      </c>
      <c r="Q76" t="s">
        <v>365</v>
      </c>
    </row>
    <row r="77" spans="1:19" customFormat="1" ht="27" customHeight="1" x14ac:dyDescent="0.25">
      <c r="A77" s="27"/>
      <c r="B77" s="144"/>
      <c r="C77" s="29"/>
      <c r="D77" s="30" t="s">
        <v>251</v>
      </c>
      <c r="E77" s="31" t="s">
        <v>243</v>
      </c>
      <c r="F77" s="32">
        <v>499000</v>
      </c>
      <c r="G77" s="33" t="s">
        <v>80</v>
      </c>
      <c r="H77" s="34" t="s">
        <v>323</v>
      </c>
      <c r="I77" s="79" t="s">
        <v>245</v>
      </c>
      <c r="J77" s="42">
        <v>1</v>
      </c>
      <c r="K77" s="151" t="s">
        <v>292</v>
      </c>
      <c r="L77" s="152">
        <v>450</v>
      </c>
      <c r="M77" s="37">
        <v>38.119999999999997</v>
      </c>
      <c r="N77" s="37">
        <v>17.25</v>
      </c>
      <c r="O77" s="38">
        <v>46078</v>
      </c>
      <c r="P77" s="78">
        <v>34.04</v>
      </c>
      <c r="Q77" t="s">
        <v>365</v>
      </c>
    </row>
    <row r="78" spans="1:19" customFormat="1" ht="15" customHeight="1" x14ac:dyDescent="0.25">
      <c r="A78" s="27"/>
      <c r="B78" s="144"/>
      <c r="C78" s="29"/>
      <c r="D78" s="30" t="s">
        <v>263</v>
      </c>
      <c r="E78" s="31" t="s">
        <v>243</v>
      </c>
      <c r="F78" s="32">
        <v>547082</v>
      </c>
      <c r="G78" s="33" t="s">
        <v>82</v>
      </c>
      <c r="H78" s="34" t="s">
        <v>324</v>
      </c>
      <c r="I78" s="79" t="s">
        <v>245</v>
      </c>
      <c r="J78" s="42">
        <v>1</v>
      </c>
      <c r="K78" s="151"/>
      <c r="L78" s="37"/>
      <c r="M78" s="37">
        <v>43.92</v>
      </c>
      <c r="N78" s="37">
        <v>17.25</v>
      </c>
      <c r="O78" s="38">
        <v>46078</v>
      </c>
      <c r="P78" s="78">
        <v>39.22</v>
      </c>
      <c r="Q78" t="s">
        <v>365</v>
      </c>
    </row>
    <row r="79" spans="1:19" customFormat="1" ht="15" customHeight="1" x14ac:dyDescent="0.25">
      <c r="A79" s="27"/>
      <c r="B79" s="144"/>
      <c r="C79" s="29"/>
      <c r="D79" s="30" t="s">
        <v>283</v>
      </c>
      <c r="E79" s="31" t="s">
        <v>243</v>
      </c>
      <c r="F79" s="32">
        <v>571001</v>
      </c>
      <c r="G79" s="33" t="s">
        <v>84</v>
      </c>
      <c r="H79" s="34" t="s">
        <v>325</v>
      </c>
      <c r="I79" s="79" t="s">
        <v>245</v>
      </c>
      <c r="J79" s="42">
        <v>1</v>
      </c>
      <c r="K79" s="151"/>
      <c r="L79" s="37"/>
      <c r="M79" s="37">
        <v>18.75</v>
      </c>
      <c r="N79" s="37">
        <v>17.25</v>
      </c>
      <c r="O79" s="38">
        <v>46078</v>
      </c>
      <c r="P79" s="78">
        <v>39.22</v>
      </c>
      <c r="Q79" t="s">
        <v>365</v>
      </c>
    </row>
    <row r="80" spans="1:19" customFormat="1" ht="15" customHeight="1" thickBot="1" x14ac:dyDescent="0.3">
      <c r="A80" s="27"/>
      <c r="B80" s="144"/>
      <c r="C80" s="29"/>
      <c r="D80" s="30">
        <v>0</v>
      </c>
      <c r="E80" s="31" t="s">
        <v>243</v>
      </c>
      <c r="F80" s="32">
        <v>480002</v>
      </c>
      <c r="G80" s="33" t="s">
        <v>86</v>
      </c>
      <c r="H80" s="34" t="s">
        <v>326</v>
      </c>
      <c r="I80" s="79" t="s">
        <v>245</v>
      </c>
      <c r="J80" s="42">
        <v>1</v>
      </c>
      <c r="K80" s="151"/>
      <c r="L80" s="37"/>
      <c r="M80" s="37">
        <v>39.549999999999997</v>
      </c>
      <c r="N80" s="37">
        <v>17.25</v>
      </c>
      <c r="O80" s="38">
        <v>46078</v>
      </c>
      <c r="P80" s="78">
        <v>35.31</v>
      </c>
      <c r="Q80" t="s">
        <v>365</v>
      </c>
    </row>
    <row r="81" spans="1:19" customFormat="1" ht="15.75" customHeight="1" thickBot="1" x14ac:dyDescent="0.3">
      <c r="A81" s="27"/>
      <c r="B81" s="153"/>
      <c r="C81" s="29"/>
      <c r="D81" s="63"/>
      <c r="E81" s="64"/>
      <c r="F81" s="86"/>
      <c r="G81" s="87"/>
      <c r="H81" s="87"/>
      <c r="I81" s="67"/>
      <c r="J81" s="67"/>
      <c r="K81" s="154" t="s">
        <v>257</v>
      </c>
      <c r="L81" s="155"/>
      <c r="M81" s="156">
        <f>AVERAGE(M70:M80)</f>
        <v>38.835454545454546</v>
      </c>
      <c r="N81" s="157"/>
      <c r="O81" s="158"/>
      <c r="P81" s="72">
        <f>AVERAGE(P70:P80)</f>
        <v>36.720909090909089</v>
      </c>
    </row>
    <row r="82" spans="1:19" customFormat="1" ht="15" customHeight="1" x14ac:dyDescent="0.25">
      <c r="A82" s="27"/>
      <c r="B82" s="142" t="s">
        <v>327</v>
      </c>
      <c r="C82" s="29"/>
      <c r="D82" s="30">
        <v>0</v>
      </c>
      <c r="E82" s="31" t="s">
        <v>243</v>
      </c>
      <c r="F82" s="103">
        <v>595000</v>
      </c>
      <c r="G82" s="91" t="s">
        <v>163</v>
      </c>
      <c r="H82" s="20"/>
      <c r="I82" s="92"/>
      <c r="J82" s="159"/>
      <c r="K82" s="160"/>
      <c r="L82" s="161"/>
      <c r="M82" s="162">
        <v>44.8</v>
      </c>
      <c r="N82" s="161">
        <v>17.25</v>
      </c>
      <c r="O82" s="161"/>
      <c r="P82" s="25"/>
      <c r="Q82" t="s">
        <v>365</v>
      </c>
    </row>
    <row r="83" spans="1:19" customFormat="1" ht="15" customHeight="1" x14ac:dyDescent="0.25">
      <c r="A83" s="27"/>
      <c r="B83" s="144"/>
      <c r="C83" s="29"/>
      <c r="D83" s="30">
        <v>0</v>
      </c>
      <c r="E83" s="31" t="s">
        <v>243</v>
      </c>
      <c r="F83" s="32">
        <v>585002</v>
      </c>
      <c r="G83" s="33" t="s">
        <v>166</v>
      </c>
      <c r="H83" s="34" t="s">
        <v>328</v>
      </c>
      <c r="I83" s="79" t="s">
        <v>329</v>
      </c>
      <c r="J83" s="163" t="s">
        <v>329</v>
      </c>
      <c r="K83" s="164"/>
      <c r="M83" s="165"/>
      <c r="P83" s="25">
        <v>31.6</v>
      </c>
      <c r="Q83" t="s">
        <v>365</v>
      </c>
    </row>
    <row r="84" spans="1:19" customFormat="1" ht="15" customHeight="1" x14ac:dyDescent="0.25">
      <c r="A84" s="27"/>
      <c r="B84" s="144"/>
      <c r="C84" s="29"/>
      <c r="D84" s="30">
        <v>0</v>
      </c>
      <c r="E84" s="31" t="s">
        <v>243</v>
      </c>
      <c r="F84" s="32">
        <v>585003</v>
      </c>
      <c r="G84" s="33" t="s">
        <v>168</v>
      </c>
      <c r="H84" s="34" t="s">
        <v>330</v>
      </c>
      <c r="I84" s="79" t="s">
        <v>329</v>
      </c>
      <c r="J84" s="163" t="s">
        <v>329</v>
      </c>
      <c r="K84" s="164"/>
      <c r="M84" s="165"/>
      <c r="P84" s="25">
        <v>31.6</v>
      </c>
      <c r="Q84" t="s">
        <v>365</v>
      </c>
      <c r="S84" s="26"/>
    </row>
    <row r="85" spans="1:19" customFormat="1" ht="15" customHeight="1" x14ac:dyDescent="0.25">
      <c r="A85" s="27"/>
      <c r="B85" s="144"/>
      <c r="C85" s="29"/>
      <c r="D85" s="30">
        <v>0</v>
      </c>
      <c r="E85" s="31" t="s">
        <v>243</v>
      </c>
      <c r="F85" s="32">
        <v>585004</v>
      </c>
      <c r="G85" s="33" t="s">
        <v>170</v>
      </c>
      <c r="H85" s="34" t="s">
        <v>331</v>
      </c>
      <c r="I85" s="79" t="s">
        <v>329</v>
      </c>
      <c r="J85" s="163" t="s">
        <v>329</v>
      </c>
      <c r="K85" s="164"/>
      <c r="M85" s="165"/>
      <c r="P85" s="25">
        <v>31.6</v>
      </c>
      <c r="Q85" t="s">
        <v>365</v>
      </c>
      <c r="S85" s="26"/>
    </row>
    <row r="86" spans="1:19" customFormat="1" ht="15" customHeight="1" x14ac:dyDescent="0.25">
      <c r="A86" s="27"/>
      <c r="B86" s="144"/>
      <c r="C86" s="29"/>
      <c r="D86" s="30">
        <v>0</v>
      </c>
      <c r="E86" s="31" t="s">
        <v>243</v>
      </c>
      <c r="F86" s="32">
        <v>585005</v>
      </c>
      <c r="G86" s="33" t="s">
        <v>172</v>
      </c>
      <c r="H86" s="34" t="s">
        <v>332</v>
      </c>
      <c r="I86" s="79" t="s">
        <v>329</v>
      </c>
      <c r="J86" s="163" t="s">
        <v>329</v>
      </c>
      <c r="K86" s="164" t="s">
        <v>333</v>
      </c>
      <c r="M86" s="165"/>
      <c r="P86" s="25">
        <v>31.6</v>
      </c>
      <c r="Q86" t="s">
        <v>365</v>
      </c>
    </row>
    <row r="87" spans="1:19" customFormat="1" ht="15" customHeight="1" x14ac:dyDescent="0.25">
      <c r="A87" s="27"/>
      <c r="B87" s="144"/>
      <c r="C87" s="29"/>
      <c r="D87" s="30">
        <v>0</v>
      </c>
      <c r="E87" s="31" t="s">
        <v>243</v>
      </c>
      <c r="F87" s="32">
        <v>585007</v>
      </c>
      <c r="G87" s="33" t="s">
        <v>174</v>
      </c>
      <c r="H87" s="34" t="s">
        <v>334</v>
      </c>
      <c r="I87" s="79" t="s">
        <v>329</v>
      </c>
      <c r="J87" s="163" t="s">
        <v>329</v>
      </c>
      <c r="K87" s="164">
        <v>652917452</v>
      </c>
      <c r="M87" s="165"/>
      <c r="P87" s="25">
        <v>31.6</v>
      </c>
      <c r="Q87" t="s">
        <v>365</v>
      </c>
    </row>
    <row r="88" spans="1:19" customFormat="1" ht="15" customHeight="1" x14ac:dyDescent="0.25">
      <c r="A88" s="27"/>
      <c r="B88" s="144"/>
      <c r="C88" s="29"/>
      <c r="D88" s="30">
        <v>0</v>
      </c>
      <c r="E88" s="31" t="s">
        <v>243</v>
      </c>
      <c r="F88" s="32">
        <v>585008</v>
      </c>
      <c r="G88" s="33" t="s">
        <v>176</v>
      </c>
      <c r="H88" s="34" t="s">
        <v>335</v>
      </c>
      <c r="I88" s="79" t="s">
        <v>329</v>
      </c>
      <c r="J88" s="163" t="s">
        <v>329</v>
      </c>
      <c r="K88" s="164"/>
      <c r="M88" s="165"/>
      <c r="P88" s="25">
        <v>31.6</v>
      </c>
      <c r="Q88" t="s">
        <v>365</v>
      </c>
    </row>
    <row r="89" spans="1:19" customFormat="1" ht="15" customHeight="1" x14ac:dyDescent="0.25">
      <c r="A89" s="27"/>
      <c r="B89" s="144"/>
      <c r="C89" s="29"/>
      <c r="D89" s="30">
        <v>0</v>
      </c>
      <c r="E89" s="31" t="s">
        <v>243</v>
      </c>
      <c r="F89" s="32">
        <v>585009</v>
      </c>
      <c r="G89" s="33" t="s">
        <v>178</v>
      </c>
      <c r="H89" s="34" t="s">
        <v>336</v>
      </c>
      <c r="I89" s="79" t="s">
        <v>329</v>
      </c>
      <c r="J89" s="163" t="s">
        <v>329</v>
      </c>
      <c r="K89" s="164"/>
      <c r="M89" s="165"/>
      <c r="P89" s="25">
        <v>31.6</v>
      </c>
      <c r="Q89" t="s">
        <v>365</v>
      </c>
    </row>
    <row r="90" spans="1:19" customFormat="1" ht="15" customHeight="1" x14ac:dyDescent="0.25">
      <c r="A90" s="27"/>
      <c r="B90" s="144"/>
      <c r="C90" s="29"/>
      <c r="D90" s="30">
        <v>0</v>
      </c>
      <c r="E90" s="31" t="s">
        <v>243</v>
      </c>
      <c r="F90" s="32">
        <v>585015</v>
      </c>
      <c r="G90" s="33" t="s">
        <v>180</v>
      </c>
      <c r="H90" s="34" t="s">
        <v>337</v>
      </c>
      <c r="I90" s="79" t="s">
        <v>329</v>
      </c>
      <c r="J90" s="163" t="s">
        <v>329</v>
      </c>
      <c r="K90" s="164"/>
      <c r="M90" s="165"/>
      <c r="P90" s="25">
        <v>40.799999999999997</v>
      </c>
      <c r="Q90" t="s">
        <v>365</v>
      </c>
    </row>
    <row r="91" spans="1:19" customFormat="1" ht="15" customHeight="1" x14ac:dyDescent="0.25">
      <c r="A91" s="27"/>
      <c r="B91" s="144"/>
      <c r="C91" s="29"/>
      <c r="D91" s="30">
        <v>0</v>
      </c>
      <c r="E91" s="31" t="s">
        <v>243</v>
      </c>
      <c r="F91" s="32">
        <v>585016</v>
      </c>
      <c r="G91" s="33" t="s">
        <v>182</v>
      </c>
      <c r="H91" s="34" t="s">
        <v>338</v>
      </c>
      <c r="I91" s="79" t="s">
        <v>329</v>
      </c>
      <c r="J91" s="163" t="s">
        <v>329</v>
      </c>
      <c r="K91" s="164"/>
      <c r="M91" s="165"/>
      <c r="P91" s="25">
        <v>41.95</v>
      </c>
      <c r="Q91" t="s">
        <v>365</v>
      </c>
    </row>
    <row r="92" spans="1:19" customFormat="1" ht="15" customHeight="1" x14ac:dyDescent="0.25">
      <c r="A92" s="27"/>
      <c r="B92" s="144"/>
      <c r="C92" s="29"/>
      <c r="D92" s="30"/>
      <c r="E92" s="31"/>
      <c r="F92" s="32">
        <v>585017</v>
      </c>
      <c r="G92" s="33" t="s">
        <v>184</v>
      </c>
      <c r="H92" s="34" t="s">
        <v>339</v>
      </c>
      <c r="I92" s="79" t="s">
        <v>329</v>
      </c>
      <c r="J92" s="163" t="s">
        <v>329</v>
      </c>
      <c r="K92" s="164"/>
      <c r="M92" s="165"/>
      <c r="P92" s="25">
        <v>45.4</v>
      </c>
      <c r="Q92" t="s">
        <v>365</v>
      </c>
    </row>
    <row r="93" spans="1:19" customFormat="1" ht="15" customHeight="1" x14ac:dyDescent="0.25">
      <c r="A93" s="27"/>
      <c r="B93" s="144"/>
      <c r="C93" s="29"/>
      <c r="D93" s="30"/>
      <c r="E93" s="31"/>
      <c r="F93" s="32">
        <v>576000</v>
      </c>
      <c r="G93" s="33" t="s">
        <v>186</v>
      </c>
      <c r="H93" s="34"/>
      <c r="I93" s="79"/>
      <c r="J93" s="163"/>
      <c r="K93" s="164"/>
      <c r="M93" s="165">
        <v>25.2</v>
      </c>
      <c r="N93">
        <v>17.25</v>
      </c>
      <c r="P93" s="25"/>
      <c r="Q93" t="s">
        <v>365</v>
      </c>
    </row>
    <row r="94" spans="1:19" customFormat="1" ht="15" customHeight="1" x14ac:dyDescent="0.25">
      <c r="A94" s="27"/>
      <c r="B94" s="144"/>
      <c r="C94" s="29"/>
      <c r="D94" s="30">
        <v>0</v>
      </c>
      <c r="E94" s="31" t="s">
        <v>243</v>
      </c>
      <c r="F94" s="32">
        <v>610000</v>
      </c>
      <c r="G94" s="33" t="s">
        <v>188</v>
      </c>
      <c r="H94" s="34"/>
      <c r="I94" s="79"/>
      <c r="J94" s="163"/>
      <c r="K94" s="164"/>
      <c r="M94" s="165">
        <v>44.8</v>
      </c>
      <c r="N94">
        <v>17.25</v>
      </c>
      <c r="P94" s="25"/>
      <c r="Q94" t="s">
        <v>365</v>
      </c>
    </row>
    <row r="95" spans="1:19" customFormat="1" ht="15.75" customHeight="1" thickBot="1" x14ac:dyDescent="0.3">
      <c r="A95" s="27"/>
      <c r="B95" s="166"/>
      <c r="C95" s="167"/>
      <c r="D95" s="30">
        <v>0</v>
      </c>
      <c r="E95" s="168" t="s">
        <v>243</v>
      </c>
      <c r="F95" s="81">
        <v>585019</v>
      </c>
      <c r="G95" s="82" t="s">
        <v>190</v>
      </c>
      <c r="H95" s="83" t="s">
        <v>340</v>
      </c>
      <c r="I95" s="84" t="s">
        <v>329</v>
      </c>
      <c r="J95" s="169" t="s">
        <v>329</v>
      </c>
      <c r="K95" s="164"/>
      <c r="M95" s="165"/>
      <c r="P95" s="25">
        <v>31.6</v>
      </c>
      <c r="Q95" t="s">
        <v>365</v>
      </c>
    </row>
    <row r="96" spans="1:19" customFormat="1" ht="15.75" thickBot="1" x14ac:dyDescent="0.3">
      <c r="A96" s="27"/>
      <c r="B96" s="153"/>
      <c r="C96" s="170"/>
      <c r="D96" s="64"/>
      <c r="E96" s="64"/>
      <c r="F96" s="86"/>
      <c r="G96" s="87"/>
      <c r="H96" s="87"/>
      <c r="I96" s="67"/>
      <c r="J96" s="67"/>
      <c r="K96" s="154" t="s">
        <v>257</v>
      </c>
      <c r="L96" s="155"/>
      <c r="M96" s="156"/>
      <c r="N96" s="157"/>
      <c r="O96" s="158"/>
      <c r="P96" s="72">
        <f>AVERAGE(P82:P95)</f>
        <v>34.631818181818183</v>
      </c>
    </row>
    <row r="97" spans="1:18" x14ac:dyDescent="0.25">
      <c r="A97" s="27"/>
      <c r="B97" s="171" t="s">
        <v>341</v>
      </c>
      <c r="C97" s="172"/>
      <c r="D97" s="30" t="s">
        <v>263</v>
      </c>
      <c r="E97" s="31" t="s">
        <v>243</v>
      </c>
      <c r="F97" s="32">
        <v>579000</v>
      </c>
      <c r="G97" s="34" t="s">
        <v>192</v>
      </c>
      <c r="H97" s="34" t="s">
        <v>342</v>
      </c>
      <c r="I97" s="22" t="s">
        <v>343</v>
      </c>
      <c r="J97" s="22">
        <v>1</v>
      </c>
      <c r="K97" s="173" t="s">
        <v>344</v>
      </c>
      <c r="L97" s="174">
        <v>1420</v>
      </c>
      <c r="M97" s="174">
        <v>77.28</v>
      </c>
      <c r="N97" s="175">
        <v>17.25</v>
      </c>
      <c r="O97" s="176" t="s">
        <v>345</v>
      </c>
      <c r="P97" s="177">
        <v>69</v>
      </c>
      <c r="Q97" t="s">
        <v>365</v>
      </c>
    </row>
    <row r="98" spans="1:18" x14ac:dyDescent="0.25">
      <c r="A98" s="27"/>
      <c r="B98" s="178"/>
      <c r="C98" s="172"/>
      <c r="D98" s="30"/>
      <c r="E98" s="31"/>
      <c r="F98" s="32">
        <v>542000</v>
      </c>
      <c r="G98" s="34" t="s">
        <v>195</v>
      </c>
      <c r="H98" s="34" t="s">
        <v>346</v>
      </c>
      <c r="I98" s="36" t="s">
        <v>343</v>
      </c>
      <c r="J98" s="36">
        <v>1</v>
      </c>
      <c r="K98" s="179" t="s">
        <v>247</v>
      </c>
      <c r="L98" s="180">
        <v>1420</v>
      </c>
      <c r="M98" s="174">
        <v>65.17</v>
      </c>
      <c r="N98" s="175">
        <v>17.25</v>
      </c>
      <c r="O98" s="176"/>
      <c r="P98" s="177">
        <v>60</v>
      </c>
      <c r="Q98" t="s">
        <v>365</v>
      </c>
    </row>
    <row r="99" spans="1:18" x14ac:dyDescent="0.25">
      <c r="A99" s="27"/>
      <c r="B99" s="178"/>
      <c r="C99" s="172"/>
      <c r="D99" s="30"/>
      <c r="E99" s="31"/>
      <c r="F99" s="32">
        <v>542001</v>
      </c>
      <c r="G99" s="34" t="s">
        <v>197</v>
      </c>
      <c r="H99" s="34" t="s">
        <v>347</v>
      </c>
      <c r="I99" s="36" t="s">
        <v>343</v>
      </c>
      <c r="J99" s="36">
        <v>1</v>
      </c>
      <c r="K99" s="179" t="s">
        <v>344</v>
      </c>
      <c r="L99" s="180">
        <v>1420</v>
      </c>
      <c r="M99" s="174">
        <v>64.55</v>
      </c>
      <c r="N99" s="175">
        <v>17.25</v>
      </c>
      <c r="O99" s="176">
        <v>58.19</v>
      </c>
      <c r="P99" s="177"/>
      <c r="Q99" t="s">
        <v>365</v>
      </c>
    </row>
    <row r="100" spans="1:18" x14ac:dyDescent="0.25">
      <c r="A100" s="27"/>
      <c r="B100" s="178"/>
      <c r="C100" s="172"/>
      <c r="D100" s="30"/>
      <c r="E100" s="31"/>
      <c r="F100" s="32">
        <v>515000</v>
      </c>
      <c r="G100" s="34" t="s">
        <v>199</v>
      </c>
      <c r="H100" s="34" t="s">
        <v>348</v>
      </c>
      <c r="I100" s="36" t="s">
        <v>343</v>
      </c>
      <c r="J100" s="36">
        <v>1</v>
      </c>
      <c r="K100" s="179" t="s">
        <v>349</v>
      </c>
      <c r="L100" s="180">
        <v>284</v>
      </c>
      <c r="M100" s="174">
        <v>71.61</v>
      </c>
      <c r="N100" s="175">
        <v>17.25</v>
      </c>
      <c r="O100" s="176" t="s">
        <v>350</v>
      </c>
      <c r="P100" s="177">
        <v>63.94</v>
      </c>
      <c r="Q100" t="s">
        <v>365</v>
      </c>
    </row>
    <row r="101" spans="1:18" x14ac:dyDescent="0.25">
      <c r="A101" s="27"/>
      <c r="B101" s="178"/>
      <c r="C101" s="172"/>
      <c r="D101" s="30"/>
      <c r="E101" s="31"/>
      <c r="F101" s="32">
        <v>580000</v>
      </c>
      <c r="G101" s="34" t="s">
        <v>201</v>
      </c>
      <c r="H101" s="34" t="s">
        <v>351</v>
      </c>
      <c r="I101" s="36" t="s">
        <v>343</v>
      </c>
      <c r="J101" s="36">
        <v>1</v>
      </c>
      <c r="K101" s="179" t="s">
        <v>349</v>
      </c>
      <c r="L101" s="180">
        <v>284</v>
      </c>
      <c r="M101" s="174">
        <v>71.61</v>
      </c>
      <c r="N101" s="175">
        <v>17.25</v>
      </c>
      <c r="O101" s="176" t="s">
        <v>350</v>
      </c>
      <c r="P101" s="177">
        <v>63.94</v>
      </c>
      <c r="Q101" t="s">
        <v>365</v>
      </c>
    </row>
    <row r="102" spans="1:18" x14ac:dyDescent="0.25">
      <c r="A102" s="27"/>
      <c r="B102" s="178"/>
      <c r="C102" s="172"/>
      <c r="D102" s="30"/>
      <c r="E102" s="31"/>
      <c r="F102" s="32">
        <v>538000</v>
      </c>
      <c r="G102" s="34" t="s">
        <v>203</v>
      </c>
      <c r="H102" s="34" t="s">
        <v>352</v>
      </c>
      <c r="I102" s="36" t="s">
        <v>343</v>
      </c>
      <c r="J102" s="36">
        <v>1</v>
      </c>
      <c r="K102" s="179" t="s">
        <v>247</v>
      </c>
      <c r="L102" s="180">
        <v>1420</v>
      </c>
      <c r="M102" s="174">
        <v>65.17</v>
      </c>
      <c r="N102" s="175">
        <v>17.25</v>
      </c>
      <c r="O102" s="176"/>
      <c r="P102" s="177">
        <v>58.19</v>
      </c>
      <c r="Q102" t="s">
        <v>365</v>
      </c>
    </row>
    <row r="103" spans="1:18" x14ac:dyDescent="0.25">
      <c r="A103" s="27"/>
      <c r="B103" s="178"/>
      <c r="C103" s="172"/>
      <c r="D103" s="30"/>
      <c r="E103" s="31"/>
      <c r="F103" s="32">
        <v>564000</v>
      </c>
      <c r="G103" s="34" t="s">
        <v>205</v>
      </c>
      <c r="H103" s="34" t="s">
        <v>353</v>
      </c>
      <c r="I103" s="36" t="s">
        <v>343</v>
      </c>
      <c r="J103" s="36">
        <v>1</v>
      </c>
      <c r="K103" s="179" t="s">
        <v>349</v>
      </c>
      <c r="L103" s="180">
        <v>284</v>
      </c>
      <c r="M103" s="174">
        <v>65.17</v>
      </c>
      <c r="N103" s="175">
        <v>17.25</v>
      </c>
      <c r="O103" s="176">
        <v>58.19</v>
      </c>
      <c r="P103" s="177"/>
      <c r="Q103" t="s">
        <v>365</v>
      </c>
    </row>
    <row r="104" spans="1:18" x14ac:dyDescent="0.25">
      <c r="A104" s="27"/>
      <c r="B104" s="178"/>
      <c r="C104" s="172"/>
      <c r="D104" s="30"/>
      <c r="E104" s="31"/>
      <c r="F104" s="32">
        <v>513000</v>
      </c>
      <c r="G104" s="34" t="s">
        <v>207</v>
      </c>
      <c r="H104" s="34" t="s">
        <v>354</v>
      </c>
      <c r="I104" s="36" t="s">
        <v>343</v>
      </c>
      <c r="J104" s="36">
        <v>1</v>
      </c>
      <c r="K104" s="179" t="s">
        <v>344</v>
      </c>
      <c r="L104" s="180">
        <v>1420</v>
      </c>
      <c r="M104" s="174">
        <v>65.17</v>
      </c>
      <c r="N104" s="175">
        <v>17.25</v>
      </c>
      <c r="O104" s="176" t="s">
        <v>345</v>
      </c>
      <c r="P104" s="177">
        <v>58.19</v>
      </c>
      <c r="Q104" t="s">
        <v>365</v>
      </c>
    </row>
    <row r="105" spans="1:18" x14ac:dyDescent="0.25">
      <c r="A105" s="27"/>
      <c r="B105" s="178"/>
      <c r="C105" s="172"/>
      <c r="D105" s="30"/>
      <c r="E105" s="31"/>
      <c r="F105" s="32">
        <v>539000</v>
      </c>
      <c r="G105" s="34" t="s">
        <v>355</v>
      </c>
      <c r="H105" s="34" t="s">
        <v>356</v>
      </c>
      <c r="I105" s="36" t="s">
        <v>343</v>
      </c>
      <c r="J105" s="36">
        <v>1</v>
      </c>
      <c r="K105" s="179" t="s">
        <v>349</v>
      </c>
      <c r="L105" s="180">
        <v>284</v>
      </c>
      <c r="M105" s="174">
        <v>65.17</v>
      </c>
      <c r="N105" s="175">
        <v>17.25</v>
      </c>
      <c r="O105" s="176" t="s">
        <v>350</v>
      </c>
      <c r="P105" s="177">
        <v>58.19</v>
      </c>
      <c r="Q105" t="s">
        <v>365</v>
      </c>
    </row>
    <row r="106" spans="1:18" x14ac:dyDescent="0.25">
      <c r="A106" s="27"/>
      <c r="B106" s="178"/>
      <c r="C106" s="172"/>
      <c r="D106" s="30"/>
      <c r="E106" s="31"/>
      <c r="F106" s="32">
        <v>467000</v>
      </c>
      <c r="G106" s="34" t="s">
        <v>211</v>
      </c>
      <c r="H106" s="34" t="s">
        <v>357</v>
      </c>
      <c r="I106" s="36" t="s">
        <v>343</v>
      </c>
      <c r="J106" s="36">
        <v>1</v>
      </c>
      <c r="K106" s="179" t="s">
        <v>358</v>
      </c>
      <c r="L106" s="180">
        <v>1596</v>
      </c>
      <c r="M106" s="174">
        <v>46.37</v>
      </c>
      <c r="N106" s="175">
        <v>17.25</v>
      </c>
      <c r="O106" s="176"/>
      <c r="P106" s="177">
        <v>41.4</v>
      </c>
      <c r="Q106" t="s">
        <v>365</v>
      </c>
    </row>
    <row r="107" spans="1:18" x14ac:dyDescent="0.25">
      <c r="A107" s="27"/>
      <c r="B107" s="178"/>
      <c r="C107" s="172"/>
      <c r="D107" s="30"/>
      <c r="E107" s="31"/>
      <c r="F107" s="32">
        <v>509000</v>
      </c>
      <c r="G107" s="34" t="s">
        <v>213</v>
      </c>
      <c r="H107" s="34" t="s">
        <v>359</v>
      </c>
      <c r="I107" s="36" t="s">
        <v>343</v>
      </c>
      <c r="J107" s="36">
        <v>1</v>
      </c>
      <c r="K107" s="179" t="s">
        <v>344</v>
      </c>
      <c r="L107" s="180">
        <v>1420</v>
      </c>
      <c r="M107" s="174">
        <v>65.17</v>
      </c>
      <c r="N107" s="175">
        <v>17.25</v>
      </c>
      <c r="O107" s="176">
        <v>58.19</v>
      </c>
      <c r="P107" s="177"/>
      <c r="Q107" t="s">
        <v>365</v>
      </c>
    </row>
    <row r="108" spans="1:18" x14ac:dyDescent="0.25">
      <c r="A108" s="27"/>
      <c r="B108" s="178"/>
      <c r="C108" s="172"/>
      <c r="D108" s="30" t="s">
        <v>263</v>
      </c>
      <c r="E108" s="31" t="s">
        <v>243</v>
      </c>
      <c r="F108" s="32">
        <v>531001</v>
      </c>
      <c r="G108" s="34" t="s">
        <v>215</v>
      </c>
      <c r="H108" s="34" t="s">
        <v>360</v>
      </c>
      <c r="I108" s="36" t="s">
        <v>343</v>
      </c>
      <c r="J108" s="36">
        <v>1</v>
      </c>
      <c r="K108" s="179" t="s">
        <v>344</v>
      </c>
      <c r="L108" s="180">
        <v>1420</v>
      </c>
      <c r="M108" s="181">
        <v>65.17</v>
      </c>
      <c r="N108" s="175">
        <v>17.25</v>
      </c>
      <c r="O108" s="176" t="s">
        <v>345</v>
      </c>
      <c r="P108" s="177">
        <v>58.19</v>
      </c>
      <c r="Q108" t="s">
        <v>365</v>
      </c>
    </row>
    <row r="109" spans="1:18" x14ac:dyDescent="0.25">
      <c r="A109" s="27"/>
      <c r="B109" s="178"/>
      <c r="C109" s="172"/>
      <c r="D109" s="30" t="s">
        <v>263</v>
      </c>
      <c r="E109" s="31" t="s">
        <v>243</v>
      </c>
      <c r="F109" s="32">
        <v>548000</v>
      </c>
      <c r="G109" s="34" t="s">
        <v>217</v>
      </c>
      <c r="H109" s="34" t="s">
        <v>361</v>
      </c>
      <c r="I109" s="36" t="s">
        <v>343</v>
      </c>
      <c r="J109" s="36">
        <v>1</v>
      </c>
      <c r="K109" s="36" t="s">
        <v>349</v>
      </c>
      <c r="L109" s="180">
        <v>284</v>
      </c>
      <c r="M109" s="181">
        <v>71.61</v>
      </c>
      <c r="N109" s="175">
        <v>17.25</v>
      </c>
      <c r="O109" s="176" t="s">
        <v>350</v>
      </c>
      <c r="P109" s="177">
        <v>63.94</v>
      </c>
      <c r="Q109" t="s">
        <v>365</v>
      </c>
    </row>
    <row r="110" spans="1:18" x14ac:dyDescent="0.25">
      <c r="A110" s="27"/>
      <c r="B110" s="178"/>
      <c r="C110" s="172"/>
      <c r="D110" s="30" t="s">
        <v>263</v>
      </c>
      <c r="E110" s="31" t="s">
        <v>243</v>
      </c>
      <c r="F110" s="32">
        <v>607000</v>
      </c>
      <c r="G110" s="34" t="s">
        <v>219</v>
      </c>
      <c r="H110" s="34" t="s">
        <v>362</v>
      </c>
      <c r="I110" s="36" t="s">
        <v>343</v>
      </c>
      <c r="J110" s="36">
        <v>1</v>
      </c>
      <c r="K110" s="36" t="s">
        <v>358</v>
      </c>
      <c r="L110" s="180">
        <v>1596</v>
      </c>
      <c r="M110" s="181">
        <v>71.61</v>
      </c>
      <c r="N110" s="175">
        <v>17.25</v>
      </c>
      <c r="O110" s="176"/>
      <c r="P110" s="177">
        <v>63.94</v>
      </c>
      <c r="Q110" t="s">
        <v>365</v>
      </c>
    </row>
    <row r="111" spans="1:18" ht="15.75" thickBot="1" x14ac:dyDescent="0.3">
      <c r="A111" s="182"/>
      <c r="B111" s="183"/>
      <c r="C111" s="172"/>
      <c r="D111" s="30" t="s">
        <v>263</v>
      </c>
      <c r="E111" s="31" t="s">
        <v>243</v>
      </c>
      <c r="F111" s="32">
        <v>614077</v>
      </c>
      <c r="G111" s="34" t="s">
        <v>221</v>
      </c>
      <c r="H111" s="34" t="s">
        <v>363</v>
      </c>
      <c r="I111" s="123" t="s">
        <v>343</v>
      </c>
      <c r="J111" s="123">
        <v>1</v>
      </c>
      <c r="K111" s="36" t="s">
        <v>358</v>
      </c>
      <c r="L111" s="180">
        <v>1596</v>
      </c>
      <c r="M111" s="181">
        <v>74.97</v>
      </c>
      <c r="N111" s="175">
        <v>17.25</v>
      </c>
      <c r="O111" s="176"/>
      <c r="P111" s="177">
        <v>66.94</v>
      </c>
      <c r="Q111" t="s">
        <v>365</v>
      </c>
    </row>
    <row r="112" spans="1:18" ht="15.75" thickBot="1" x14ac:dyDescent="0.3">
      <c r="A112" s="184"/>
      <c r="B112" s="184"/>
      <c r="C112" s="184"/>
      <c r="D112" s="184"/>
      <c r="E112" s="185"/>
      <c r="F112" s="186"/>
      <c r="G112" s="187"/>
      <c r="H112" s="187"/>
      <c r="I112" s="157"/>
      <c r="J112" s="188"/>
      <c r="K112" s="189" t="s">
        <v>257</v>
      </c>
      <c r="L112" s="190"/>
      <c r="M112" s="191"/>
      <c r="N112" s="67"/>
      <c r="O112" s="90"/>
      <c r="P112" s="192">
        <f>AVERAGE(P97:P111)</f>
        <v>60.488333333333344</v>
      </c>
      <c r="Q112"/>
      <c r="R112" s="193"/>
    </row>
    <row r="113" spans="1:18" ht="32.25" thickBot="1" x14ac:dyDescent="0.3">
      <c r="A113" s="194"/>
      <c r="B113" s="194"/>
      <c r="C113" s="194"/>
      <c r="K113" s="195" t="s">
        <v>364</v>
      </c>
      <c r="L113" s="190"/>
      <c r="M113" s="191"/>
      <c r="N113" s="67"/>
      <c r="O113" s="90"/>
      <c r="P113" s="196" t="e">
        <f>AVERAGE(P12,P27,P39,P60,P69,P81,P96,#REF!,P112,31.25)</f>
        <v>#REF!</v>
      </c>
      <c r="Q113" s="193" t="e">
        <f>P113*3</f>
        <v>#REF!</v>
      </c>
      <c r="R113" s="193"/>
    </row>
    <row r="114" spans="1:18" x14ac:dyDescent="0.25">
      <c r="Q114" s="193" t="e">
        <f>Q113+17.25</f>
        <v>#REF!</v>
      </c>
      <c r="R114" s="193">
        <f>15*P112</f>
        <v>907.32500000000016</v>
      </c>
    </row>
    <row r="115" spans="1:18" x14ac:dyDescent="0.25">
      <c r="P115" s="193" t="e">
        <f>P113*3</f>
        <v>#REF!</v>
      </c>
    </row>
    <row r="116" spans="1:18" x14ac:dyDescent="0.25">
      <c r="P116" s="193" t="e">
        <f>P115+17.25</f>
        <v>#REF!</v>
      </c>
    </row>
    <row r="117" spans="1:18" x14ac:dyDescent="0.25">
      <c r="P117" s="193" t="e">
        <f>P116*3</f>
        <v>#REF!</v>
      </c>
    </row>
  </sheetData>
  <mergeCells count="1">
    <mergeCell ref="A2:A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Raúl Gragera Nogales</dc:creator>
  <cp:lastModifiedBy>Raúl Gragera Nogales</cp:lastModifiedBy>
  <dcterms:created xsi:type="dcterms:W3CDTF">2026-09-09T07:02:27Z</dcterms:created>
  <dcterms:modified xsi:type="dcterms:W3CDTF">2026-09-10T07:18:46Z</dcterms:modified>
</cp:coreProperties>
</file>